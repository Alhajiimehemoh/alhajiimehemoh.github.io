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Participants" sheetId="2" state="visible" r:id="rId4"/>
    <sheet name="Summary" sheetId="3" state="visible" r:id="rId5"/>
    <sheet name="Settings" sheetId="4" state="visible" r:id="rId6"/>
  </sheets>
  <definedNames>
    <definedName function="false" hidden="false" localSheetId="1" name="_xlnm.Print_Titles" vbProcedure="false">Participants!$4:$4</definedName>
    <definedName function="false" hidden="true" localSheetId="1" name="_xlnm._FilterDatabase" vbProcedure="false">Participants!$A$4:$O$67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<sst xmlns="http://schemas.openxmlformats.org/spreadsheetml/2006/main" count="73" uniqueCount="64">
  <si>
    <t xml:space="preserve">Alhaji Ibrahim Mehemoh  ·  Free resource</t>
  </si>
  <si>
    <t xml:space="preserve">Training attendance and results tracker</t>
  </si>
  <si>
    <t xml:space="preserve">Track who attended each day of a training, how much they learned and who qualifies for a certificate.</t>
  </si>
  <si>
    <t xml:space="preserve">HOW TO USE</t>
  </si>
  <si>
    <t xml:space="preserve">Step 1</t>
  </si>
  <si>
    <t xml:space="preserve">Fill the training name, dates and rules in the Settings sheet.</t>
  </si>
  <si>
    <t xml:space="preserve">Step 2</t>
  </si>
  <si>
    <t xml:space="preserve">Give each participant an ID. Names are optional; use IDs if the file will be shared.</t>
  </si>
  <si>
    <t xml:space="preserve">Step 3</t>
  </si>
  <si>
    <t xml:space="preserve">Mark attendance for each day as Y or N from the drop-down.</t>
  </si>
  <si>
    <t xml:space="preserve">Step 4</t>
  </si>
  <si>
    <t xml:space="preserve">Enter pre-test and post-test scores as percentages, for example 45%.</t>
  </si>
  <si>
    <t xml:space="preserve">Step 5</t>
  </si>
  <si>
    <t xml:space="preserve">Days attended, improvement and certificate eligibility calculate automatically. Delete the three amber example rows when you start.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</si>
  <si>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</si>
  <si>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</si>
  <si>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</si>
  <si>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</si>
  <si>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</si>
  <si>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</si>
  <si>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Participants</t>
  </si>
  <si>
    <t xml:space="preserve">Type in white cells. Grey cells calculate automatically. See the How to use sheet.</t>
  </si>
  <si>
    <t xml:space="preserve">Participant ID</t>
  </si>
  <si>
    <t xml:space="preserve">Name (optional)</t>
  </si>
  <si>
    <t xml:space="preserve">Organisation or facility</t>
  </si>
  <si>
    <t xml:space="preserve">Role</t>
  </si>
  <si>
    <t xml:space="preserve">Sex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</si>
  <si>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</si>
  <si>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</si>
  <si>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</si>
  <si>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</si>
  <si>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</si>
  <si>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Days attended</t>
  </si>
  <si>
    <t xml:space="preserve">Pre-test</t>
  </si>
  <si>
    <t xml:space="preserve">Post-test</t>
  </si>
  <si>
    <t xml:space="preserve">Improvement (points)</t>
  </si>
  <si>
    <t xml:space="preserve">Certificate</t>
  </si>
  <si>
    <t xml:space="preserve">EX-01</t>
  </si>
  <si>
    <t xml:space="preserve">Example: PHC A</t>
  </si>
  <si>
    <t xml:space="preserve">Nurse</t>
  </si>
  <si>
    <t xml:space="preserve">F</t>
  </si>
  <si>
    <t xml:space="preserve">Y</t>
  </si>
  <si>
    <t xml:space="preserve">EX-02</t>
  </si>
  <si>
    <t xml:space="preserve">Example: PHC B</t>
  </si>
  <si>
    <t xml:space="preserve">Data clerk</t>
  </si>
  <si>
    <t xml:space="preserve">M</t>
  </si>
  <si>
    <t xml:space="preserve">N</t>
  </si>
  <si>
    <t xml:space="preserve">EX-03</t>
  </si>
  <si>
    <t xml:space="preserve">Example: PHC C</t>
  </si>
  <si>
    <t xml:space="preserve">CHW supervisor</t>
  </si>
  <si>
    <t xml:space="preserve">Training summary</t>
  </si>
  <si>
    <t xml:space="preserve">Female</t>
  </si>
  <si>
    <t xml:space="preserve">Male</t>
  </si>
  <si>
    <t xml:space="preserve">Average days attended</t>
  </si>
  <si>
    <t xml:space="preserve">Average pre-test</t>
  </si>
  <si>
    <t xml:space="preserve">Average post-test</t>
  </si>
  <si>
    <t xml:space="preserve">Average improvement (points)</t>
  </si>
  <si>
    <t xml:space="preserve">Eligible for a certificate</t>
  </si>
  <si>
    <t xml:space="preserve">Settings</t>
  </si>
  <si>
    <t xml:space="preserve">Training name</t>
  </si>
  <si>
    <t xml:space="preserve">Example: Data quality for facility staff</t>
  </si>
  <si>
    <t xml:space="preserve">Number of training days (1 to 5)</t>
  </si>
  <si>
    <t xml:space="preserve">Minimum days for a certificate</t>
  </si>
  <si>
    <t xml:space="preserve">Minimum post-test score for a certificate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</si>
</sst>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+0;\-0;0"/>
    <numFmt numFmtId="167" formatCode="0"/>
    <numFmt numFmtId="168" formatCode="0.0"/>
    <numFmt numFmtId="169" formatCode="\+0.0;\-0.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  <font>
      <sz val="10"/>
      <color rgb="FF475D6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B7A5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0F243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5C"/>
      <rgbColor rgb="FFC0C0C0"/>
      <rgbColor rgb="FF878787"/>
      <rgbColor rgb="FF9999FF"/>
      <rgbColor rgb="FF993366"/>
      <rgbColor rgb="FFFBEBC8"/>
      <rgbColor rgb="FFDDF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D3DED9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before and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b7a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Summary!$A$8:$A$9</c:f>
              <c:strCache>
                <c:ptCount val="2"/>
                <c:pt idx="0">
                  <c:v>Average pre-test</c:v>
                </c:pt>
                <c:pt idx="1">
                  <c:v>Average post-test</c:v>
                </c:pt>
              </c:strCache>
            </c:strRef>
          </c:cat>
          <c:val>
            <c:numRef>
              <c:f>Summary!$B$8:$B$9</c:f>
              <c:numCache>
                <c:formatCode>0%</c:formatCode>
                <c:ptCount val="2"/>
                <c:pt idx="0">
                  <c:v>0.433333333333333</c:v>
                </c:pt>
                <c:pt idx="1">
                  <c:v>0.733333333333333</c:v>
                </c:pt>
              </c:numCache>
            </c:numRef>
          </c:val>
        </c:ser>
        <c:gapWidth val="150"/>
        <c:overlap val="0"/>
        <c:axId val="76527738"/>
        <c:axId val="48381912"/>
      </c:barChart>
      <c:catAx>
        <c:axId val="76527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81912"/>
        <c:crosses val="autoZero"/>
        <c:auto val="1"/>
        <c:lblAlgn val="ctr"/>
        <c:lblOffset val="100"/>
        <c:noMultiLvlLbl val="0"/>
      </c:catAx>
      <c:valAx>
        <c:axId val="4838191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2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10</xdr:col>
      <xdr:colOff>39240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3853800" y="571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8"/>
      <c r="C16" s="9" t="s">
        <v>15</v>
      </c>
    </row>
    <row r="17" customFormat="false" ht="15" hidden="false" customHeight="false" outlineLevel="0" collapsed="false">
      <c r="B17" s="10"/>
      <c r="C17" s="9" t="s">
        <v>16</v>
      </c>
    </row>
    <row r="18" customFormat="false" ht="15" hidden="false" customHeight="false" outlineLevel="0" collapsed="false">
      <c r="B18" s="11"/>
      <c r="C18" s="9" t="s">
        <v>17</v>
      </c>
    </row>
    <row r="20" customFormat="false" ht="15" hidden="false" customHeight="false" outlineLevel="0" collapsed="false">
      <c r="B20" s="12" t="s">
        <v>18</v>
      </c>
      <c r="C20" s="12"/>
    </row>
    <row r="22" customFormat="false" ht="15" hidden="false" customHeight="false" outlineLevel="0" collapsed="false">
      <c r="B22" s="13" t="s">
        <v>19</v>
      </c>
      <c r="C22" s="13"/>
    </row>
  </sheetData>
  <mergeCells count="3">
    <mergeCell ref="B6:C6"/>
    <mergeCell ref="B20:C20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10" min="5" style="0" width="7"/>
    <col collapsed="false" customWidth="true" hidden="false" outlineLevel="0" max="13" min="11" style="0" width="10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14" t="s">
        <v>20</v>
      </c>
    </row>
    <row r="2" customFormat="false" ht="15" hidden="false" customHeight="false" outlineLevel="0" collapsed="false">
      <c r="A2" s="15" t="s">
        <v>21</v>
      </c>
    </row>
    <row r="4" customFormat="false" ht="33.75" hidden="false" customHeight="true" outlineLevel="0" collapsed="false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6" t="s">
        <v>28</v>
      </c>
      <c r="H4" s="16" t="s">
        <v>29</v>
      </c>
      <c r="I4" s="16" t="s">
        <v>30</v>
      </c>
      <c r="J4" s="16" t="s">
        <v>31</v>
      </c>
      <c r="K4" s="17" t="s">
        <v>32</v>
      </c>
      <c r="L4" s="16" t="s">
        <v>33</v>
      </c>
      <c r="M4" s="16" t="s">
        <v>34</v>
      </c>
      <c r="N4" s="17" t="s">
        <v>35</v>
      </c>
      <c r="O4" s="17" t="s">
        <v>36</v>
      </c>
    </row>
    <row r="5" customFormat="false" ht="19.5" hidden="false" customHeight="true" outlineLevel="0" collapsed="false">
      <c r="A5" s="18" t="s">
        <v>37</v>
      </c>
      <c r="B5" s="18"/>
      <c r="C5" s="18" t="s">
        <v>38</v>
      </c>
      <c r="D5" s="18" t="s">
        <v>39</v>
      </c>
      <c r="E5" s="18" t="s">
        <v>40</v>
      </c>
      <c r="F5" s="18" t="s">
        <v>41</v>
      </c>
      <c r="G5" s="18" t="s">
        <v>41</v>
      </c>
      <c r="H5" s="18" t="s">
        <v>41</v>
      </c>
      <c r="I5" s="18"/>
      <c r="J5" s="18"/>
      <c r="K5" s="18" t="n">
        <f aca="false">IF(A5="","",COUNTIF(F5:J5,"Y"))</f>
        <v>3</v>
      </c>
      <c r="L5" s="19" t="n">
        <v>0.45</v>
      </c>
      <c r="M5" s="19" t="n">
        <v>0.8</v>
      </c>
      <c r="N5" s="20" t="n">
        <f aca="false">IF(OR(A5="",L5="",M5=""),"",(M5-L5)*100)</f>
        <v>35</v>
      </c>
      <c r="O5" s="18" t="str">
        <f aca="false">IF(A5="","",IF(AND(K5&gt;=Settings!$B$5,N(M5)&gt;=Settings!$B$6),"Yes","No"))</f>
        <v>Yes</v>
      </c>
    </row>
    <row r="6" customFormat="false" ht="19.5" hidden="false" customHeight="true" outlineLevel="0" collapsed="false">
      <c r="A6" s="18" t="s">
        <v>42</v>
      </c>
      <c r="B6" s="18"/>
      <c r="C6" s="18" t="s">
        <v>43</v>
      </c>
      <c r="D6" s="18" t="s">
        <v>44</v>
      </c>
      <c r="E6" s="18" t="s">
        <v>45</v>
      </c>
      <c r="F6" s="18" t="s">
        <v>41</v>
      </c>
      <c r="G6" s="18" t="s">
        <v>46</v>
      </c>
      <c r="H6" s="18" t="s">
        <v>41</v>
      </c>
      <c r="I6" s="18"/>
      <c r="J6" s="18"/>
      <c r="K6" s="18" t="n">
        <f aca="false">IF(A6="","",COUNTIF(F6:J6,"Y"))</f>
        <v>2</v>
      </c>
      <c r="L6" s="19" t="n">
        <v>0.5</v>
      </c>
      <c r="M6" s="19" t="n">
        <v>0.75</v>
      </c>
      <c r="N6" s="20" t="n">
        <f aca="false">IF(OR(A6="",L6="",M6=""),"",(M6-L6)*100)</f>
        <v>25</v>
      </c>
      <c r="O6" s="18" t="str">
        <f aca="false">IF(A6="","",IF(AND(K6&gt;=Settings!$B$5,N(M6)&gt;=Settings!$B$6),"Yes","No"))</f>
        <v>No</v>
      </c>
    </row>
    <row r="7" customFormat="false" ht="19.5" hidden="false" customHeight="true" outlineLevel="0" collapsed="false">
      <c r="A7" s="18" t="s">
        <v>47</v>
      </c>
      <c r="B7" s="18"/>
      <c r="C7" s="18" t="s">
        <v>48</v>
      </c>
      <c r="D7" s="18" t="s">
        <v>49</v>
      </c>
      <c r="E7" s="18" t="s">
        <v>40</v>
      </c>
      <c r="F7" s="18" t="s">
        <v>41</v>
      </c>
      <c r="G7" s="18" t="s">
        <v>41</v>
      </c>
      <c r="H7" s="18" t="s">
        <v>41</v>
      </c>
      <c r="I7" s="18"/>
      <c r="J7" s="18"/>
      <c r="K7" s="18" t="n">
        <f aca="false">IF(A7="","",COUNTIF(F7:J7,"Y"))</f>
        <v>3</v>
      </c>
      <c r="L7" s="19" t="n">
        <v>0.35</v>
      </c>
      <c r="M7" s="19" t="n">
        <v>0.65</v>
      </c>
      <c r="N7" s="20" t="n">
        <f aca="false">IF(OR(A7="",L7="",M7=""),"",(M7-L7)*100)</f>
        <v>30</v>
      </c>
      <c r="O7" s="18" t="str">
        <f aca="false">IF(A7="","",IF(AND(K7&gt;=Settings!$B$5,N(M7)&gt;=Settings!$B$6),"Yes","No"))</f>
        <v>No</v>
      </c>
    </row>
    <row r="8" customFormat="false" ht="19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2" t="str">
        <f aca="false">IF(A8="","",COUNTIF(F8:J8,"Y"))</f>
        <v/>
      </c>
      <c r="L8" s="23"/>
      <c r="M8" s="23"/>
      <c r="N8" s="24" t="str">
        <f aca="false">IF(OR(A8="",L8="",M8=""),"",(M8-L8)*100)</f>
        <v/>
      </c>
      <c r="O8" s="22" t="str">
        <f aca="false">IF(A8="","",IF(AND(K8&gt;=Settings!$B$5,N(M8)&gt;=Settings!$B$6),"Yes","No"))</f>
        <v/>
      </c>
    </row>
    <row r="9" customFormat="false" ht="19.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2" t="str">
        <f aca="false">IF(A9="","",COUNTIF(F9:J9,"Y"))</f>
        <v/>
      </c>
      <c r="L9" s="23"/>
      <c r="M9" s="23"/>
      <c r="N9" s="24" t="str">
        <f aca="false">IF(OR(A9="",L9="",M9=""),"",(M9-L9)*100)</f>
        <v/>
      </c>
      <c r="O9" s="22" t="str">
        <f aca="false">IF(A9="","",IF(AND(K9&gt;=Settings!$B$5,N(M9)&gt;=Settings!$B$6),"Yes","No"))</f>
        <v/>
      </c>
    </row>
    <row r="10" customFormat="false" ht="19.5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 t="str">
        <f aca="false">IF(A10="","",COUNTIF(F10:J10,"Y"))</f>
        <v/>
      </c>
      <c r="L10" s="23"/>
      <c r="M10" s="23"/>
      <c r="N10" s="24" t="str">
        <f aca="false">IF(OR(A10="",L10="",M10=""),"",(M10-L10)*100)</f>
        <v/>
      </c>
      <c r="O10" s="22" t="str">
        <f aca="false">IF(A10="","",IF(AND(K10&gt;=Settings!$B$5,N(M10)&gt;=Settings!$B$6),"Yes","No"))</f>
        <v/>
      </c>
    </row>
    <row r="11" customFormat="false" ht="19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2" t="str">
        <f aca="false">IF(A11="","",COUNTIF(F11:J11,"Y"))</f>
        <v/>
      </c>
      <c r="L11" s="23"/>
      <c r="M11" s="23"/>
      <c r="N11" s="24" t="str">
        <f aca="false">IF(OR(A11="",L11="",M11=""),"",(M11-L11)*100)</f>
        <v/>
      </c>
      <c r="O11" s="22" t="str">
        <f aca="false">IF(A11="","",IF(AND(K11&gt;=Settings!$B$5,N(M11)&gt;=Settings!$B$6),"Yes","No"))</f>
        <v/>
      </c>
    </row>
    <row r="12" customFormat="false" ht="19.5" hidden="false" customHeight="tru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2" t="str">
        <f aca="false">IF(A12="","",COUNTIF(F12:J12,"Y"))</f>
        <v/>
      </c>
      <c r="L12" s="23"/>
      <c r="M12" s="23"/>
      <c r="N12" s="24" t="str">
        <f aca="false">IF(OR(A12="",L12="",M12=""),"",(M12-L12)*100)</f>
        <v/>
      </c>
      <c r="O12" s="22" t="str">
        <f aca="false">IF(A12="","",IF(AND(K12&gt;=Settings!$B$5,N(M12)&gt;=Settings!$B$6),"Yes","No"))</f>
        <v/>
      </c>
    </row>
    <row r="13" customFormat="false" ht="19.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2" t="str">
        <f aca="false">IF(A13="","",COUNTIF(F13:J13,"Y"))</f>
        <v/>
      </c>
      <c r="L13" s="23"/>
      <c r="M13" s="23"/>
      <c r="N13" s="24" t="str">
        <f aca="false">IF(OR(A13="",L13="",M13=""),"",(M13-L13)*100)</f>
        <v/>
      </c>
      <c r="O13" s="22" t="str">
        <f aca="false">IF(A13="","",IF(AND(K13&gt;=Settings!$B$5,N(M13)&gt;=Settings!$B$6),"Yes","No"))</f>
        <v/>
      </c>
    </row>
    <row r="14" customFormat="false" ht="19.5" hidden="false" customHeight="tru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2" t="str">
        <f aca="false">IF(A14="","",COUNTIF(F14:J14,"Y"))</f>
        <v/>
      </c>
      <c r="L14" s="23"/>
      <c r="M14" s="23"/>
      <c r="N14" s="24" t="str">
        <f aca="false">IF(OR(A14="",L14="",M14=""),"",(M14-L14)*100)</f>
        <v/>
      </c>
      <c r="O14" s="22" t="str">
        <f aca="false">IF(A14="","",IF(AND(K14&gt;=Settings!$B$5,N(M14)&gt;=Settings!$B$6),"Yes","No"))</f>
        <v/>
      </c>
    </row>
    <row r="15" customFormat="false" ht="19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2" t="str">
        <f aca="false">IF(A15="","",COUNTIF(F15:J15,"Y"))</f>
        <v/>
      </c>
      <c r="L15" s="23"/>
      <c r="M15" s="23"/>
      <c r="N15" s="24" t="str">
        <f aca="false">IF(OR(A15="",L15="",M15=""),"",(M15-L15)*100)</f>
        <v/>
      </c>
      <c r="O15" s="22" t="str">
        <f aca="false">IF(A15="","",IF(AND(K15&gt;=Settings!$B$5,N(M15)&gt;=Settings!$B$6),"Yes","No"))</f>
        <v/>
      </c>
    </row>
    <row r="16" customFormat="false" ht="19.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2" t="str">
        <f aca="false">IF(A16="","",COUNTIF(F16:J16,"Y"))</f>
        <v/>
      </c>
      <c r="L16" s="23"/>
      <c r="M16" s="23"/>
      <c r="N16" s="24" t="str">
        <f aca="false">IF(OR(A16="",L16="",M16=""),"",(M16-L16)*100)</f>
        <v/>
      </c>
      <c r="O16" s="22" t="str">
        <f aca="false">IF(A16="","",IF(AND(K16&gt;=Settings!$B$5,N(M16)&gt;=Settings!$B$6),"Yes","No"))</f>
        <v/>
      </c>
    </row>
    <row r="17" customFormat="false" ht="19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2" t="str">
        <f aca="false">IF(A17="","",COUNTIF(F17:J17,"Y"))</f>
        <v/>
      </c>
      <c r="L17" s="23"/>
      <c r="M17" s="23"/>
      <c r="N17" s="24" t="str">
        <f aca="false">IF(OR(A17="",L17="",M17=""),"",(M17-L17)*100)</f>
        <v/>
      </c>
      <c r="O17" s="22" t="str">
        <f aca="false">IF(A17="","",IF(AND(K17&gt;=Settings!$B$5,N(M17)&gt;=Settings!$B$6),"Yes","No"))</f>
        <v/>
      </c>
    </row>
    <row r="18" customFormat="false" ht="19.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2" t="str">
        <f aca="false">IF(A18="","",COUNTIF(F18:J18,"Y"))</f>
        <v/>
      </c>
      <c r="L18" s="23"/>
      <c r="M18" s="23"/>
      <c r="N18" s="24" t="str">
        <f aca="false">IF(OR(A18="",L18="",M18=""),"",(M18-L18)*100)</f>
        <v/>
      </c>
      <c r="O18" s="22" t="str">
        <f aca="false">IF(A18="","",IF(AND(K18&gt;=Settings!$B$5,N(M18)&gt;=Settings!$B$6),"Yes","No"))</f>
        <v/>
      </c>
    </row>
    <row r="19" customFormat="false" ht="19.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2" t="str">
        <f aca="false">IF(A19="","",COUNTIF(F19:J19,"Y"))</f>
        <v/>
      </c>
      <c r="L19" s="23"/>
      <c r="M19" s="23"/>
      <c r="N19" s="24" t="str">
        <f aca="false">IF(OR(A19="",L19="",M19=""),"",(M19-L19)*100)</f>
        <v/>
      </c>
      <c r="O19" s="22" t="str">
        <f aca="false">IF(A19="","",IF(AND(K19&gt;=Settings!$B$5,N(M19)&gt;=Settings!$B$6),"Yes","No"))</f>
        <v/>
      </c>
    </row>
    <row r="20" customFormat="false" ht="19.5" hidden="false" customHeight="tru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2" t="str">
        <f aca="false">IF(A20="","",COUNTIF(F20:J20,"Y"))</f>
        <v/>
      </c>
      <c r="L20" s="23"/>
      <c r="M20" s="23"/>
      <c r="N20" s="24" t="str">
        <f aca="false">IF(OR(A20="",L20="",M20=""),"",(M20-L20)*100)</f>
        <v/>
      </c>
      <c r="O20" s="22" t="str">
        <f aca="false">IF(A20="","",IF(AND(K20&gt;=Settings!$B$5,N(M20)&gt;=Settings!$B$6),"Yes","No"))</f>
        <v/>
      </c>
    </row>
    <row r="21" customFormat="false" ht="19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2" t="str">
        <f aca="false">IF(A21="","",COUNTIF(F21:J21,"Y"))</f>
        <v/>
      </c>
      <c r="L21" s="23"/>
      <c r="M21" s="23"/>
      <c r="N21" s="24" t="str">
        <f aca="false">IF(OR(A21="",L21="",M21=""),"",(M21-L21)*100)</f>
        <v/>
      </c>
      <c r="O21" s="22" t="str">
        <f aca="false">IF(A21="","",IF(AND(K21&gt;=Settings!$B$5,N(M21)&gt;=Settings!$B$6),"Yes","No"))</f>
        <v/>
      </c>
    </row>
    <row r="22" customFormat="false" ht="19.5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2" t="str">
        <f aca="false">IF(A22="","",COUNTIF(F22:J22,"Y"))</f>
        <v/>
      </c>
      <c r="L22" s="23"/>
      <c r="M22" s="23"/>
      <c r="N22" s="24" t="str">
        <f aca="false">IF(OR(A22="",L22="",M22=""),"",(M22-L22)*100)</f>
        <v/>
      </c>
      <c r="O22" s="22" t="str">
        <f aca="false">IF(A22="","",IF(AND(K22&gt;=Settings!$B$5,N(M22)&gt;=Settings!$B$6),"Yes","No"))</f>
        <v/>
      </c>
    </row>
    <row r="23" customFormat="false" ht="19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2" t="str">
        <f aca="false">IF(A23="","",COUNTIF(F23:J23,"Y"))</f>
        <v/>
      </c>
      <c r="L23" s="23"/>
      <c r="M23" s="23"/>
      <c r="N23" s="24" t="str">
        <f aca="false">IF(OR(A23="",L23="",M23=""),"",(M23-L23)*100)</f>
        <v/>
      </c>
      <c r="O23" s="22" t="str">
        <f aca="false">IF(A23="","",IF(AND(K23&gt;=Settings!$B$5,N(M23)&gt;=Settings!$B$6),"Yes","No"))</f>
        <v/>
      </c>
    </row>
    <row r="24" customFormat="false" ht="19.5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2" t="str">
        <f aca="false">IF(A24="","",COUNTIF(F24:J24,"Y"))</f>
        <v/>
      </c>
      <c r="L24" s="23"/>
      <c r="M24" s="23"/>
      <c r="N24" s="24" t="str">
        <f aca="false">IF(OR(A24="",L24="",M24=""),"",(M24-L24)*100)</f>
        <v/>
      </c>
      <c r="O24" s="22" t="str">
        <f aca="false">IF(A24="","",IF(AND(K24&gt;=Settings!$B$5,N(M24)&gt;=Settings!$B$6),"Yes","No"))</f>
        <v/>
      </c>
    </row>
    <row r="25" customFormat="false" ht="19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2" t="str">
        <f aca="false">IF(A25="","",COUNTIF(F25:J25,"Y"))</f>
        <v/>
      </c>
      <c r="L25" s="23"/>
      <c r="M25" s="23"/>
      <c r="N25" s="24" t="str">
        <f aca="false">IF(OR(A25="",L25="",M25=""),"",(M25-L25)*100)</f>
        <v/>
      </c>
      <c r="O25" s="22" t="str">
        <f aca="false">IF(A25="","",IF(AND(K25&gt;=Settings!$B$5,N(M25)&gt;=Settings!$B$6),"Yes","No"))</f>
        <v/>
      </c>
    </row>
    <row r="26" customFormat="false" ht="19.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2" t="str">
        <f aca="false">IF(A26="","",COUNTIF(F26:J26,"Y"))</f>
        <v/>
      </c>
      <c r="L26" s="23"/>
      <c r="M26" s="23"/>
      <c r="N26" s="24" t="str">
        <f aca="false">IF(OR(A26="",L26="",M26=""),"",(M26-L26)*100)</f>
        <v/>
      </c>
      <c r="O26" s="22" t="str">
        <f aca="false">IF(A26="","",IF(AND(K26&gt;=Settings!$B$5,N(M26)&gt;=Settings!$B$6),"Yes","No"))</f>
        <v/>
      </c>
    </row>
    <row r="27" customFormat="false" ht="19.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2" t="str">
        <f aca="false">IF(A27="","",COUNTIF(F27:J27,"Y"))</f>
        <v/>
      </c>
      <c r="L27" s="23"/>
      <c r="M27" s="23"/>
      <c r="N27" s="24" t="str">
        <f aca="false">IF(OR(A27="",L27="",M27=""),"",(M27-L27)*100)</f>
        <v/>
      </c>
      <c r="O27" s="22" t="str">
        <f aca="false">IF(A27="","",IF(AND(K27&gt;=Settings!$B$5,N(M27)&gt;=Settings!$B$6),"Yes","No"))</f>
        <v/>
      </c>
    </row>
    <row r="28" customFormat="false" ht="19.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2" t="str">
        <f aca="false">IF(A28="","",COUNTIF(F28:J28,"Y"))</f>
        <v/>
      </c>
      <c r="L28" s="23"/>
      <c r="M28" s="23"/>
      <c r="N28" s="24" t="str">
        <f aca="false">IF(OR(A28="",L28="",M28=""),"",(M28-L28)*100)</f>
        <v/>
      </c>
      <c r="O28" s="22" t="str">
        <f aca="false">IF(A28="","",IF(AND(K28&gt;=Settings!$B$5,N(M28)&gt;=Settings!$B$6),"Yes","No"))</f>
        <v/>
      </c>
    </row>
    <row r="29" customFormat="false" ht="19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2" t="str">
        <f aca="false">IF(A29="","",COUNTIF(F29:J29,"Y"))</f>
        <v/>
      </c>
      <c r="L29" s="23"/>
      <c r="M29" s="23"/>
      <c r="N29" s="24" t="str">
        <f aca="false">IF(OR(A29="",L29="",M29=""),"",(M29-L29)*100)</f>
        <v/>
      </c>
      <c r="O29" s="22" t="str">
        <f aca="false">IF(A29="","",IF(AND(K29&gt;=Settings!$B$5,N(M29)&gt;=Settings!$B$6),"Yes","No"))</f>
        <v/>
      </c>
    </row>
    <row r="30" customFormat="false" ht="19.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2" t="str">
        <f aca="false">IF(A30="","",COUNTIF(F30:J30,"Y"))</f>
        <v/>
      </c>
      <c r="L30" s="23"/>
      <c r="M30" s="23"/>
      <c r="N30" s="24" t="str">
        <f aca="false">IF(OR(A30="",L30="",M30=""),"",(M30-L30)*100)</f>
        <v/>
      </c>
      <c r="O30" s="22" t="str">
        <f aca="false">IF(A30="","",IF(AND(K30&gt;=Settings!$B$5,N(M30)&gt;=Settings!$B$6),"Yes","No"))</f>
        <v/>
      </c>
    </row>
    <row r="31" customFormat="false" ht="19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2" t="str">
        <f aca="false">IF(A31="","",COUNTIF(F31:J31,"Y"))</f>
        <v/>
      </c>
      <c r="L31" s="23"/>
      <c r="M31" s="23"/>
      <c r="N31" s="24" t="str">
        <f aca="false">IF(OR(A31="",L31="",M31=""),"",(M31-L31)*100)</f>
        <v/>
      </c>
      <c r="O31" s="22" t="str">
        <f aca="false">IF(A31="","",IF(AND(K31&gt;=Settings!$B$5,N(M31)&gt;=Settings!$B$6),"Yes","No"))</f>
        <v/>
      </c>
    </row>
    <row r="32" customFormat="false" ht="19.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2" t="str">
        <f aca="false">IF(A32="","",COUNTIF(F32:J32,"Y"))</f>
        <v/>
      </c>
      <c r="L32" s="23"/>
      <c r="M32" s="23"/>
      <c r="N32" s="24" t="str">
        <f aca="false">IF(OR(A32="",L32="",M32=""),"",(M32-L32)*100)</f>
        <v/>
      </c>
      <c r="O32" s="22" t="str">
        <f aca="false">IF(A32="","",IF(AND(K32&gt;=Settings!$B$5,N(M32)&gt;=Settings!$B$6),"Yes","No"))</f>
        <v/>
      </c>
    </row>
    <row r="33" customFormat="false" ht="19.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2" t="str">
        <f aca="false">IF(A33="","",COUNTIF(F33:J33,"Y"))</f>
        <v/>
      </c>
      <c r="L33" s="23"/>
      <c r="M33" s="23"/>
      <c r="N33" s="24" t="str">
        <f aca="false">IF(OR(A33="",L33="",M33=""),"",(M33-L33)*100)</f>
        <v/>
      </c>
      <c r="O33" s="22" t="str">
        <f aca="false">IF(A33="","",IF(AND(K33&gt;=Settings!$B$5,N(M33)&gt;=Settings!$B$6),"Yes","No"))</f>
        <v/>
      </c>
    </row>
    <row r="34" customFormat="false" ht="19.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2" t="str">
        <f aca="false">IF(A34="","",COUNTIF(F34:J34,"Y"))</f>
        <v/>
      </c>
      <c r="L34" s="23"/>
      <c r="M34" s="23"/>
      <c r="N34" s="24" t="str">
        <f aca="false">IF(OR(A34="",L34="",M34=""),"",(M34-L34)*100)</f>
        <v/>
      </c>
      <c r="O34" s="22" t="str">
        <f aca="false">IF(A34="","",IF(AND(K34&gt;=Settings!$B$5,N(M34)&gt;=Settings!$B$6),"Yes","No"))</f>
        <v/>
      </c>
    </row>
    <row r="35" customFormat="false" ht="19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2" t="str">
        <f aca="false">IF(A35="","",COUNTIF(F35:J35,"Y"))</f>
        <v/>
      </c>
      <c r="L35" s="23"/>
      <c r="M35" s="23"/>
      <c r="N35" s="24" t="str">
        <f aca="false">IF(OR(A35="",L35="",M35=""),"",(M35-L35)*100)</f>
        <v/>
      </c>
      <c r="O35" s="22" t="str">
        <f aca="false">IF(A35="","",IF(AND(K35&gt;=Settings!$B$5,N(M35)&gt;=Settings!$B$6),"Yes","No"))</f>
        <v/>
      </c>
    </row>
    <row r="36" customFormat="false" ht="19.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2" t="str">
        <f aca="false">IF(A36="","",COUNTIF(F36:J36,"Y"))</f>
        <v/>
      </c>
      <c r="L36" s="23"/>
      <c r="M36" s="23"/>
      <c r="N36" s="24" t="str">
        <f aca="false">IF(OR(A36="",L36="",M36=""),"",(M36-L36)*100)</f>
        <v/>
      </c>
      <c r="O36" s="22" t="str">
        <f aca="false">IF(A36="","",IF(AND(K36&gt;=Settings!$B$5,N(M36)&gt;=Settings!$B$6),"Yes","No"))</f>
        <v/>
      </c>
    </row>
    <row r="37" customFormat="false" ht="19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2" t="str">
        <f aca="false">IF(A37="","",COUNTIF(F37:J37,"Y"))</f>
        <v/>
      </c>
      <c r="L37" s="23"/>
      <c r="M37" s="23"/>
      <c r="N37" s="24" t="str">
        <f aca="false">IF(OR(A37="",L37="",M37=""),"",(M37-L37)*100)</f>
        <v/>
      </c>
      <c r="O37" s="22" t="str">
        <f aca="false">IF(A37="","",IF(AND(K37&gt;=Settings!$B$5,N(M37)&gt;=Settings!$B$6),"Yes","No"))</f>
        <v/>
      </c>
    </row>
    <row r="38" customFormat="false" ht="19.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2" t="str">
        <f aca="false">IF(A38="","",COUNTIF(F38:J38,"Y"))</f>
        <v/>
      </c>
      <c r="L38" s="23"/>
      <c r="M38" s="23"/>
      <c r="N38" s="24" t="str">
        <f aca="false">IF(OR(A38="",L38="",M38=""),"",(M38-L38)*100)</f>
        <v/>
      </c>
      <c r="O38" s="22" t="str">
        <f aca="false">IF(A38="","",IF(AND(K38&gt;=Settings!$B$5,N(M38)&gt;=Settings!$B$6),"Yes","No"))</f>
        <v/>
      </c>
    </row>
    <row r="39" customFormat="false" ht="19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2" t="str">
        <f aca="false">IF(A39="","",COUNTIF(F39:J39,"Y"))</f>
        <v/>
      </c>
      <c r="L39" s="23"/>
      <c r="M39" s="23"/>
      <c r="N39" s="24" t="str">
        <f aca="false">IF(OR(A39="",L39="",M39=""),"",(M39-L39)*100)</f>
        <v/>
      </c>
      <c r="O39" s="22" t="str">
        <f aca="false">IF(A39="","",IF(AND(K39&gt;=Settings!$B$5,N(M39)&gt;=Settings!$B$6),"Yes","No"))</f>
        <v/>
      </c>
    </row>
    <row r="40" customFormat="false" ht="19.5" hidden="false" customHeight="tru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2" t="str">
        <f aca="false">IF(A40="","",COUNTIF(F40:J40,"Y"))</f>
        <v/>
      </c>
      <c r="L40" s="23"/>
      <c r="M40" s="23"/>
      <c r="N40" s="24" t="str">
        <f aca="false">IF(OR(A40="",L40="",M40=""),"",(M40-L40)*100)</f>
        <v/>
      </c>
      <c r="O40" s="22" t="str">
        <f aca="false">IF(A40="","",IF(AND(K40&gt;=Settings!$B$5,N(M40)&gt;=Settings!$B$6),"Yes","No"))</f>
        <v/>
      </c>
    </row>
    <row r="41" customFormat="false" ht="19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2" t="str">
        <f aca="false">IF(A41="","",COUNTIF(F41:J41,"Y"))</f>
        <v/>
      </c>
      <c r="L41" s="23"/>
      <c r="M41" s="23"/>
      <c r="N41" s="24" t="str">
        <f aca="false">IF(OR(A41="",L41="",M41=""),"",(M41-L41)*100)</f>
        <v/>
      </c>
      <c r="O41" s="22" t="str">
        <f aca="false">IF(A41="","",IF(AND(K41&gt;=Settings!$B$5,N(M41)&gt;=Settings!$B$6),"Yes","No"))</f>
        <v/>
      </c>
    </row>
    <row r="42" customFormat="false" ht="19.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2" t="str">
        <f aca="false">IF(A42="","",COUNTIF(F42:J42,"Y"))</f>
        <v/>
      </c>
      <c r="L42" s="23"/>
      <c r="M42" s="23"/>
      <c r="N42" s="24" t="str">
        <f aca="false">IF(OR(A42="",L42="",M42=""),"",(M42-L42)*100)</f>
        <v/>
      </c>
      <c r="O42" s="22" t="str">
        <f aca="false">IF(A42="","",IF(AND(K42&gt;=Settings!$B$5,N(M42)&gt;=Settings!$B$6),"Yes","No"))</f>
        <v/>
      </c>
    </row>
    <row r="43" customFormat="false" ht="19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2" t="str">
        <f aca="false">IF(A43="","",COUNTIF(F43:J43,"Y"))</f>
        <v/>
      </c>
      <c r="L43" s="23"/>
      <c r="M43" s="23"/>
      <c r="N43" s="24" t="str">
        <f aca="false">IF(OR(A43="",L43="",M43=""),"",(M43-L43)*100)</f>
        <v/>
      </c>
      <c r="O43" s="22" t="str">
        <f aca="false">IF(A43="","",IF(AND(K43&gt;=Settings!$B$5,N(M43)&gt;=Settings!$B$6),"Yes","No"))</f>
        <v/>
      </c>
    </row>
    <row r="44" customFormat="false" ht="19.5" hidden="false" customHeight="tru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2" t="str">
        <f aca="false">IF(A44="","",COUNTIF(F44:J44,"Y"))</f>
        <v/>
      </c>
      <c r="L44" s="23"/>
      <c r="M44" s="23"/>
      <c r="N44" s="24" t="str">
        <f aca="false">IF(OR(A44="",L44="",M44=""),"",(M44-L44)*100)</f>
        <v/>
      </c>
      <c r="O44" s="22" t="str">
        <f aca="false">IF(A44="","",IF(AND(K44&gt;=Settings!$B$5,N(M44)&gt;=Settings!$B$6),"Yes","No"))</f>
        <v/>
      </c>
    </row>
    <row r="45" customFormat="false" ht="19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2" t="str">
        <f aca="false">IF(A45="","",COUNTIF(F45:J45,"Y"))</f>
        <v/>
      </c>
      <c r="L45" s="23"/>
      <c r="M45" s="23"/>
      <c r="N45" s="24" t="str">
        <f aca="false">IF(OR(A45="",L45="",M45=""),"",(M45-L45)*100)</f>
        <v/>
      </c>
      <c r="O45" s="22" t="str">
        <f aca="false">IF(A45="","",IF(AND(K45&gt;=Settings!$B$5,N(M45)&gt;=Settings!$B$6),"Yes","No"))</f>
        <v/>
      </c>
    </row>
    <row r="46" customFormat="false" ht="19.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2" t="str">
        <f aca="false">IF(A46="","",COUNTIF(F46:J46,"Y"))</f>
        <v/>
      </c>
      <c r="L46" s="23"/>
      <c r="M46" s="23"/>
      <c r="N46" s="24" t="str">
        <f aca="false">IF(OR(A46="",L46="",M46=""),"",(M46-L46)*100)</f>
        <v/>
      </c>
      <c r="O46" s="22" t="str">
        <f aca="false">IF(A46="","",IF(AND(K46&gt;=Settings!$B$5,N(M46)&gt;=Settings!$B$6),"Yes","No"))</f>
        <v/>
      </c>
    </row>
    <row r="47" customFormat="false" ht="19.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2" t="str">
        <f aca="false">IF(A47="","",COUNTIF(F47:J47,"Y"))</f>
        <v/>
      </c>
      <c r="L47" s="23"/>
      <c r="M47" s="23"/>
      <c r="N47" s="24" t="str">
        <f aca="false">IF(OR(A47="",L47="",M47=""),"",(M47-L47)*100)</f>
        <v/>
      </c>
      <c r="O47" s="22" t="str">
        <f aca="false">IF(A47="","",IF(AND(K47&gt;=Settings!$B$5,N(M47)&gt;=Settings!$B$6),"Yes","No"))</f>
        <v/>
      </c>
    </row>
    <row r="48" customFormat="false" ht="19.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2" t="str">
        <f aca="false">IF(A48="","",COUNTIF(F48:J48,"Y"))</f>
        <v/>
      </c>
      <c r="L48" s="23"/>
      <c r="M48" s="23"/>
      <c r="N48" s="24" t="str">
        <f aca="false">IF(OR(A48="",L48="",M48=""),"",(M48-L48)*100)</f>
        <v/>
      </c>
      <c r="O48" s="22" t="str">
        <f aca="false">IF(A48="","",IF(AND(K48&gt;=Settings!$B$5,N(M48)&gt;=Settings!$B$6),"Yes","No"))</f>
        <v/>
      </c>
    </row>
    <row r="49" customFormat="false" ht="19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2" t="str">
        <f aca="false">IF(A49="","",COUNTIF(F49:J49,"Y"))</f>
        <v/>
      </c>
      <c r="L49" s="23"/>
      <c r="M49" s="23"/>
      <c r="N49" s="24" t="str">
        <f aca="false">IF(OR(A49="",L49="",M49=""),"",(M49-L49)*100)</f>
        <v/>
      </c>
      <c r="O49" s="22" t="str">
        <f aca="false">IF(A49="","",IF(AND(K49&gt;=Settings!$B$5,N(M49)&gt;=Settings!$B$6),"Yes","No"))</f>
        <v/>
      </c>
    </row>
    <row r="50" customFormat="false" ht="19.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2" t="str">
        <f aca="false">IF(A50="","",COUNTIF(F50:J50,"Y"))</f>
        <v/>
      </c>
      <c r="L50" s="23"/>
      <c r="M50" s="23"/>
      <c r="N50" s="24" t="str">
        <f aca="false">IF(OR(A50="",L50="",M50=""),"",(M50-L50)*100)</f>
        <v/>
      </c>
      <c r="O50" s="22" t="str">
        <f aca="false">IF(A50="","",IF(AND(K50&gt;=Settings!$B$5,N(M50)&gt;=Settings!$B$6),"Yes","No"))</f>
        <v/>
      </c>
    </row>
    <row r="51" customFormat="false" ht="19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2" t="str">
        <f aca="false">IF(A51="","",COUNTIF(F51:J51,"Y"))</f>
        <v/>
      </c>
      <c r="L51" s="23"/>
      <c r="M51" s="23"/>
      <c r="N51" s="24" t="str">
        <f aca="false">IF(OR(A51="",L51="",M51=""),"",(M51-L51)*100)</f>
        <v/>
      </c>
      <c r="O51" s="22" t="str">
        <f aca="false">IF(A51="","",IF(AND(K51&gt;=Settings!$B$5,N(M51)&gt;=Settings!$B$6),"Yes","No"))</f>
        <v/>
      </c>
    </row>
    <row r="52" customFormat="false" ht="19.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2" t="str">
        <f aca="false">IF(A52="","",COUNTIF(F52:J52,"Y"))</f>
        <v/>
      </c>
      <c r="L52" s="23"/>
      <c r="M52" s="23"/>
      <c r="N52" s="24" t="str">
        <f aca="false">IF(OR(A52="",L52="",M52=""),"",(M52-L52)*100)</f>
        <v/>
      </c>
      <c r="O52" s="22" t="str">
        <f aca="false">IF(A52="","",IF(AND(K52&gt;=Settings!$B$5,N(M52)&gt;=Settings!$B$6),"Yes","No"))</f>
        <v/>
      </c>
    </row>
    <row r="53" customFormat="false" ht="19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2" t="str">
        <f aca="false">IF(A53="","",COUNTIF(F53:J53,"Y"))</f>
        <v/>
      </c>
      <c r="L53" s="23"/>
      <c r="M53" s="23"/>
      <c r="N53" s="24" t="str">
        <f aca="false">IF(OR(A53="",L53="",M53=""),"",(M53-L53)*100)</f>
        <v/>
      </c>
      <c r="O53" s="22" t="str">
        <f aca="false">IF(A53="","",IF(AND(K53&gt;=Settings!$B$5,N(M53)&gt;=Settings!$B$6),"Yes","No"))</f>
        <v/>
      </c>
    </row>
    <row r="54" customFormat="false" ht="19.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2" t="str">
        <f aca="false">IF(A54="","",COUNTIF(F54:J54,"Y"))</f>
        <v/>
      </c>
      <c r="L54" s="23"/>
      <c r="M54" s="23"/>
      <c r="N54" s="24" t="str">
        <f aca="false">IF(OR(A54="",L54="",M54=""),"",(M54-L54)*100)</f>
        <v/>
      </c>
      <c r="O54" s="22" t="str">
        <f aca="false">IF(A54="","",IF(AND(K54&gt;=Settings!$B$5,N(M54)&gt;=Settings!$B$6),"Yes","No"))</f>
        <v/>
      </c>
    </row>
    <row r="55" customFormat="false" ht="19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2" t="str">
        <f aca="false">IF(A55="","",COUNTIF(F55:J55,"Y"))</f>
        <v/>
      </c>
      <c r="L55" s="23"/>
      <c r="M55" s="23"/>
      <c r="N55" s="24" t="str">
        <f aca="false">IF(OR(A55="",L55="",M55=""),"",(M55-L55)*100)</f>
        <v/>
      </c>
      <c r="O55" s="22" t="str">
        <f aca="false">IF(A55="","",IF(AND(K55&gt;=Settings!$B$5,N(M55)&gt;=Settings!$B$6),"Yes","No"))</f>
        <v/>
      </c>
    </row>
    <row r="56" customFormat="false" ht="19.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2" t="str">
        <f aca="false">IF(A56="","",COUNTIF(F56:J56,"Y"))</f>
        <v/>
      </c>
      <c r="L56" s="23"/>
      <c r="M56" s="23"/>
      <c r="N56" s="24" t="str">
        <f aca="false">IF(OR(A56="",L56="",M56=""),"",(M56-L56)*100)</f>
        <v/>
      </c>
      <c r="O56" s="22" t="str">
        <f aca="false">IF(A56="","",IF(AND(K56&gt;=Settings!$B$5,N(M56)&gt;=Settings!$B$6),"Yes","No"))</f>
        <v/>
      </c>
    </row>
    <row r="57" customFormat="false" ht="19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2" t="str">
        <f aca="false">IF(A57="","",COUNTIF(F57:J57,"Y"))</f>
        <v/>
      </c>
      <c r="L57" s="23"/>
      <c r="M57" s="23"/>
      <c r="N57" s="24" t="str">
        <f aca="false">IF(OR(A57="",L57="",M57=""),"",(M57-L57)*100)</f>
        <v/>
      </c>
      <c r="O57" s="22" t="str">
        <f aca="false">IF(A57="","",IF(AND(K57&gt;=Settings!$B$5,N(M57)&gt;=Settings!$B$6),"Yes","No"))</f>
        <v/>
      </c>
    </row>
    <row r="58" customFormat="false" ht="19.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2" t="str">
        <f aca="false">IF(A58="","",COUNTIF(F58:J58,"Y"))</f>
        <v/>
      </c>
      <c r="L58" s="23"/>
      <c r="M58" s="23"/>
      <c r="N58" s="24" t="str">
        <f aca="false">IF(OR(A58="",L58="",M58=""),"",(M58-L58)*100)</f>
        <v/>
      </c>
      <c r="O58" s="22" t="str">
        <f aca="false">IF(A58="","",IF(AND(K58&gt;=Settings!$B$5,N(M58)&gt;=Settings!$B$6),"Yes","No"))</f>
        <v/>
      </c>
    </row>
    <row r="59" customFormat="false" ht="19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2" t="str">
        <f aca="false">IF(A59="","",COUNTIF(F59:J59,"Y"))</f>
        <v/>
      </c>
      <c r="L59" s="23"/>
      <c r="M59" s="23"/>
      <c r="N59" s="24" t="str">
        <f aca="false">IF(OR(A59="",L59="",M59=""),"",(M59-L59)*100)</f>
        <v/>
      </c>
      <c r="O59" s="22" t="str">
        <f aca="false">IF(A59="","",IF(AND(K59&gt;=Settings!$B$5,N(M59)&gt;=Settings!$B$6),"Yes","No"))</f>
        <v/>
      </c>
    </row>
    <row r="60" customFormat="false" ht="19.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2" t="str">
        <f aca="false">IF(A60="","",COUNTIF(F60:J60,"Y"))</f>
        <v/>
      </c>
      <c r="L60" s="23"/>
      <c r="M60" s="23"/>
      <c r="N60" s="24" t="str">
        <f aca="false">IF(OR(A60="",L60="",M60=""),"",(M60-L60)*100)</f>
        <v/>
      </c>
      <c r="O60" s="22" t="str">
        <f aca="false">IF(A60="","",IF(AND(K60&gt;=Settings!$B$5,N(M60)&gt;=Settings!$B$6),"Yes","No"))</f>
        <v/>
      </c>
    </row>
    <row r="61" customFormat="false" ht="19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2" t="str">
        <f aca="false">IF(A61="","",COUNTIF(F61:J61,"Y"))</f>
        <v/>
      </c>
      <c r="L61" s="23"/>
      <c r="M61" s="23"/>
      <c r="N61" s="24" t="str">
        <f aca="false">IF(OR(A61="",L61="",M61=""),"",(M61-L61)*100)</f>
        <v/>
      </c>
      <c r="O61" s="22" t="str">
        <f aca="false">IF(A61="","",IF(AND(K61&gt;=Settings!$B$5,N(M61)&gt;=Settings!$B$6),"Yes","No"))</f>
        <v/>
      </c>
    </row>
    <row r="62" customFormat="false" ht="19.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2" t="str">
        <f aca="false">IF(A62="","",COUNTIF(F62:J62,"Y"))</f>
        <v/>
      </c>
      <c r="L62" s="23"/>
      <c r="M62" s="23"/>
      <c r="N62" s="24" t="str">
        <f aca="false">IF(OR(A62="",L62="",M62=""),"",(M62-L62)*100)</f>
        <v/>
      </c>
      <c r="O62" s="22" t="str">
        <f aca="false">IF(A62="","",IF(AND(K62&gt;=Settings!$B$5,N(M62)&gt;=Settings!$B$6),"Yes","No"))</f>
        <v/>
      </c>
    </row>
    <row r="63" customFormat="false" ht="19.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2" t="str">
        <f aca="false">IF(A63="","",COUNTIF(F63:J63,"Y"))</f>
        <v/>
      </c>
      <c r="L63" s="23"/>
      <c r="M63" s="23"/>
      <c r="N63" s="24" t="str">
        <f aca="false">IF(OR(A63="",L63="",M63=""),"",(M63-L63)*100)</f>
        <v/>
      </c>
      <c r="O63" s="22" t="str">
        <f aca="false">IF(A63="","",IF(AND(K63&gt;=Settings!$B$5,N(M63)&gt;=Settings!$B$6),"Yes","No"))</f>
        <v/>
      </c>
    </row>
    <row r="64" customFormat="false" ht="19.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2" t="str">
        <f aca="false">IF(A64="","",COUNTIF(F64:J64,"Y"))</f>
        <v/>
      </c>
      <c r="L64" s="23"/>
      <c r="M64" s="23"/>
      <c r="N64" s="24" t="str">
        <f aca="false">IF(OR(A64="",L64="",M64=""),"",(M64-L64)*100)</f>
        <v/>
      </c>
      <c r="O64" s="22" t="str">
        <f aca="false">IF(A64="","",IF(AND(K64&gt;=Settings!$B$5,N(M64)&gt;=Settings!$B$6),"Yes","No"))</f>
        <v/>
      </c>
    </row>
    <row r="65" customFormat="false" ht="19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2" t="str">
        <f aca="false">IF(A65="","",COUNTIF(F65:J65,"Y"))</f>
        <v/>
      </c>
      <c r="L65" s="23"/>
      <c r="M65" s="23"/>
      <c r="N65" s="24" t="str">
        <f aca="false">IF(OR(A65="",L65="",M65=""),"",(M65-L65)*100)</f>
        <v/>
      </c>
      <c r="O65" s="22" t="str">
        <f aca="false">IF(A65="","",IF(AND(K65&gt;=Settings!$B$5,N(M65)&gt;=Settings!$B$6),"Yes","No"))</f>
        <v/>
      </c>
    </row>
    <row r="66" customFormat="false" ht="19.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2" t="str">
        <f aca="false">IF(A66="","",COUNTIF(F66:J66,"Y"))</f>
        <v/>
      </c>
      <c r="L66" s="23"/>
      <c r="M66" s="23"/>
      <c r="N66" s="24" t="str">
        <f aca="false">IF(OR(A66="",L66="",M66=""),"",(M66-L66)*100)</f>
        <v/>
      </c>
      <c r="O66" s="22" t="str">
        <f aca="false">IF(A66="","",IF(AND(K66&gt;=Settings!$B$5,N(M66)&gt;=Settings!$B$6),"Yes","No"))</f>
        <v/>
      </c>
    </row>
    <row r="67" customFormat="false" ht="19.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2" t="str">
        <f aca="false">IF(A67="","",COUNTIF(F67:J67,"Y"))</f>
        <v/>
      </c>
      <c r="L67" s="23"/>
      <c r="M67" s="23"/>
      <c r="N67" s="24" t="str">
        <f aca="false">IF(OR(A67="",L67="",M67=""),"",(M67-L67)*100)</f>
        <v/>
      </c>
      <c r="O67" s="22" t="str">
        <f aca="false">IF(A67="","",IF(AND(K67&gt;=Settings!$B$5,N(M67)&gt;=Settings!$B$6),"Yes","No"))</f>
        <v/>
      </c>
    </row>
  </sheetData>
  <autoFilter ref="A4:O67"/>
  <conditionalFormatting sqref="O5:O67">
    <cfRule type="expression" priority="2" aboveAverage="0" equalAverage="0" bottom="0" percent="0" rank="0" text="" dxfId="8">
      <formula>O5="Yes"</formula>
    </cfRule>
    <cfRule type="expression" priority="3" aboveAverage="0" equalAverage="0" bottom="0" percent="0" rank="0" text="" dxfId="9">
      <formula>O5="No"</formula>
    </cfRule>
  </conditionalFormatting>
  <dataValidations count="2">
    <dataValidation allowBlank="true" error="Choose a value from the list" errorStyle="stop" errorTitle="Not in the list" operator="between" showDropDown="false" showErrorMessage="false" showInputMessage="false" sqref="F5:J67" type="list">
      <formula1>"Y,N"</formula1>
      <formula2>0</formula2>
    </dataValidation>
    <dataValidation allowBlank="true" error="Choose a value from the list" errorStyle="stop" errorTitle="Not in the list" operator="between" showDropDown="false" showErrorMessage="false" showInputMessage="false" sqref="E5:E67" type="list">
      <formula1>"F,M"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4" t="s">
        <v>50</v>
      </c>
    </row>
    <row r="2" customFormat="false" ht="15" hidden="false" customHeight="false" outlineLevel="0" collapsed="false">
      <c r="A2" s="25" t="str">
        <f aca="false">Settings!B3</f>
        <v>Example: Data quality for facility staff</v>
      </c>
    </row>
    <row r="4" customFormat="false" ht="15" hidden="false" customHeight="false" outlineLevel="0" collapsed="false">
      <c r="A4" s="26" t="s">
        <v>20</v>
      </c>
      <c r="B4" s="27" t="n">
        <f aca="false">COUNTA(Participants!$A$5:$A$67)</f>
        <v>3</v>
      </c>
    </row>
    <row r="5" customFormat="false" ht="15" hidden="false" customHeight="false" outlineLevel="0" collapsed="false">
      <c r="A5" s="26" t="s">
        <v>51</v>
      </c>
      <c r="B5" s="27" t="n">
        <f aca="false">COUNTIF(Participants!$E$5:$E$67,"F")</f>
        <v>2</v>
      </c>
    </row>
    <row r="6" customFormat="false" ht="15" hidden="false" customHeight="false" outlineLevel="0" collapsed="false">
      <c r="A6" s="26" t="s">
        <v>52</v>
      </c>
      <c r="B6" s="27" t="n">
        <f aca="false">COUNTIF(Participants!$E$5:$E$67,"M")</f>
        <v>1</v>
      </c>
    </row>
    <row r="7" customFormat="false" ht="15" hidden="false" customHeight="false" outlineLevel="0" collapsed="false">
      <c r="A7" s="26" t="s">
        <v>53</v>
      </c>
      <c r="B7" s="28" t="n">
        <f aca="false">IFERROR(AVERAGE(Participants!$K$5:$K$67),"")</f>
        <v>2.66666666666667</v>
      </c>
    </row>
    <row r="8" customFormat="false" ht="15" hidden="false" customHeight="false" outlineLevel="0" collapsed="false">
      <c r="A8" s="26" t="s">
        <v>54</v>
      </c>
      <c r="B8" s="29" t="n">
        <f aca="false">IFERROR(AVERAGE(Participants!$L$5:$L$67),"")</f>
        <v>0.433333333333333</v>
      </c>
    </row>
    <row r="9" customFormat="false" ht="15" hidden="false" customHeight="false" outlineLevel="0" collapsed="false">
      <c r="A9" s="26" t="s">
        <v>55</v>
      </c>
      <c r="B9" s="29" t="n">
        <f aca="false">IFERROR(AVERAGE(Participants!$M$5:$M$67),"")</f>
        <v>0.733333333333333</v>
      </c>
    </row>
    <row r="10" customFormat="false" ht="15" hidden="false" customHeight="false" outlineLevel="0" collapsed="false">
      <c r="A10" s="26" t="s">
        <v>56</v>
      </c>
      <c r="B10" s="30" t="n">
        <f aca="false">IFERROR(AVERAGE(Participants!$N$5:$N$67),"")</f>
        <v>30</v>
      </c>
    </row>
    <row r="11" customFormat="false" ht="15" hidden="false" customHeight="false" outlineLevel="0" collapsed="false">
      <c r="A11" s="26" t="s">
        <v>57</v>
      </c>
      <c r="B11" s="27" t="n">
        <f aca="false">COUNTIF(Participants!$O$5:$O$67,"Yes")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</cols>
  <sheetData>
    <row r="1" customFormat="false" ht="19.7" hidden="false" customHeight="false" outlineLevel="0" collapsed="false">
      <c r="A1" s="14" t="s">
        <v>58</v>
      </c>
    </row>
    <row r="3" customFormat="false" ht="15" hidden="false" customHeight="false" outlineLevel="0" collapsed="false">
      <c r="A3" s="31" t="s">
        <v>59</v>
      </c>
      <c r="B3" s="32" t="s">
        <v>60</v>
      </c>
    </row>
    <row r="4" customFormat="false" ht="15" hidden="false" customHeight="false" outlineLevel="0" collapsed="false">
      <c r="A4" s="31" t="s">
        <v>61</v>
      </c>
      <c r="B4" s="32" t="n">
        <v>3</v>
      </c>
    </row>
    <row r="5" customFormat="false" ht="15" hidden="false" customHeight="false" outlineLevel="0" collapsed="false">
      <c r="A5" s="31" t="s">
        <v>62</v>
      </c>
      <c r="B5" s="32" t="n">
        <v>3</v>
      </c>
    </row>
    <row r="6" customFormat="false" ht="15" hidden="false" customHeight="false" outlineLevel="0" collapsed="false">
      <c r="A6" s="31" t="s">
        <v>63</v>
      </c>
      <c r="B6" s="33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2026-10-22T18:01:18Z</dcterms:created>
  <dc:creator>openpyxl</dc:creator>
  <dc:description/>
  <dc:language>en-US</dc:language>
  <cp:lastModifiedBy/>
  <dcterms:modified xsi:type="dcterms:W3CDTF">2026-10-22T18:01:38Z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