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Log" sheetId="2" state="visible" r:id="rId4"/>
    <sheet name="Summary" sheetId="3" state="visible" r:id="rId5"/>
  </sheets>
  <definedNames>
    <definedName function="false" hidden="false" localSheetId="1" name="_xlnm.Print_Titles" vbProcedure="false">Log!$4:$4</definedName>
    <definedName function="false" hidden="true" localSheetId="1" name="_xlnm._FilterDatabase" vbProcedure="false">Log!$A$4:$K$207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<sst xmlns="http://schemas.openxmlformats.org/spreadsheetml/2006/main" count="79" uniqueCount="66">
  <si>
    <t xml:space="preserve">Alhaji Ibrahim Mehemoh  ·  Free resource</t>
  </si>
  <si>
    <t xml:space="preserve">Data cleaning log</t>
  </si>
  <si>
    <t xml:space="preserve">A record of every problem found in a dataset and what was done about it, so changes can always be explained.</t>
  </si>
  <si>
    <t xml:space="preserve">HOW TO USE</t>
  </si>
  <si>
    <t xml:space="preserve">Step 1</t>
  </si>
  <si>
    <t xml:space="preserve">Add one row for each problem you find, even if you fix it immediately.</t>
  </si>
  <si>
    <t xml:space="preserve">Step 2</t>
  </si>
  <si>
    <t xml:space="preserve">Use the record ID from the dataset, never a person's name.</t>
  </si>
  <si>
    <t xml:space="preserve">Step 3</t>
  </si>
  <si>
    <t xml:space="preserve">Choose the issue type and status from the drop-down lists.</t>
  </si>
  <si>
    <t xml:space="preserve">Step 4</t>
  </si>
  <si>
    <t xml:space="preserve">Write the original value and the corrected value, so the change can be traced.</t>
  </si>
  <si>
    <t xml:space="preserve">Step 5</t>
  </si>
  <si>
    <t xml:space="preserve">The Summary sheet counts issues by type and status automatically. Share it with your monthly report.</t>
  </si>
  <si>
    <t xml:space="preserve">COLOUR KEY</t>
  </si>
  <si>
    <t xml:space="preserve">White cells: type your data here</t>
  </si>
  <si>
    <t xml:space="preserve">Grey cells: formulas, do not type over them</t>
  </si>
  <si>
    <t xml:space="preserve">Amber rows: an example. Delete or overwrite it when you start</t>
  </si>
  <si>
    <t xml:space="preserve">Privacy: do not store patient names, phone numbers or ID numbers in this file.</t>
  </si>
  <si>
    <t xml:space="preserve">Free to use and adapt. Please keep this credit line.  ·  alhajiimehemoh.github.io  ·  Need it tailored? alhajiimehemoh@gmail.com</t>
  </si>
  <si>
    <t xml:space="preserve">Type in white cells. Grey cells calculate automatically. See the How to use sheet.</t>
  </si>
  <si>
    <t xml:space="preserve">Date found</t>
  </si>
  <si>
    <t xml:space="preserve">Dataset or form</t>
  </si>
  <si>
    <t xml:space="preserve">Record ID</t>
  </si>
  <si>
    <t xml:space="preserve">Field</t>
  </si>
  <si>
    <t xml:space="preserve">Issue type</t>
  </si>
  <si>
    <t xml:space="preserve">Original value</t>
  </si>
  <si>
    <t xml:space="preserve">Corrected value</t>
  </si>
  <si>
    <t xml:space="preserve">Action taken</t>
  </si>
  <si>
    <t xml:space="preserve">Status</t>
  </si>
  <si>
    <t xml:space="preserve">Found by (role)</t>
  </si>
  <si>
    <t xml:space="preserve">Date closed</t>
  </si>
  <si>
    <t xml:space="preserve">2026-01-15</t>
  </si>
  <si>
    <t xml:space="preserve">Example: EPI monthly form</t>
  </si>
  <si>
    <t xml:space="preserve">R-0142</t>
  </si>
  <si>
    <t xml:space="preserve">children_vaccinated</t>
  </si>
  <si>
    <t xml:space="preserve">Out of range</t>
  </si>
  <si>
    <t xml:space="preserve">1500</t>
  </si>
  <si>
    <t xml:space="preserve">150</t>
  </si>
  <si>
    <t xml:space="preserve">Confirmed with facility: extra zero typed</t>
  </si>
  <si>
    <t xml:space="preserve">Fixed</t>
  </si>
  <si>
    <t xml:space="preserve">Data officer</t>
  </si>
  <si>
    <t xml:space="preserve">2026-01-16</t>
  </si>
  <si>
    <t xml:space="preserve">R-0157</t>
  </si>
  <si>
    <t xml:space="preserve">facility</t>
  </si>
  <si>
    <t xml:space="preserve">Duplicate</t>
  </si>
  <si>
    <t xml:space="preserve">R-0157 and R-0158</t>
  </si>
  <si>
    <t xml:space="preserve">Asked facility which submission is correct</t>
  </si>
  <si>
    <t xml:space="preserve">Query sent</t>
  </si>
  <si>
    <t xml:space="preserve">Example: Household survey</t>
  </si>
  <si>
    <t xml:space="preserve">H-0031</t>
  </si>
  <si>
    <t xml:space="preserve">location</t>
  </si>
  <si>
    <t xml:space="preserve">GPS error</t>
  </si>
  <si>
    <t xml:space="preserve">Outside district</t>
  </si>
  <si>
    <t xml:space="preserve">Flagged for re-visit</t>
  </si>
  <si>
    <t xml:space="preserve">Open</t>
  </si>
  <si>
    <t xml:space="preserve">Supervisor</t>
  </si>
  <si>
    <t xml:space="preserve">Summary</t>
  </si>
  <si>
    <t xml:space="preserve">Counts include the three amber example rows on the Log sheet until you delete them.</t>
  </si>
  <si>
    <t xml:space="preserve">Cannot fix</t>
  </si>
  <si>
    <t xml:space="preserve">Total</t>
  </si>
  <si>
    <t xml:space="preserve">Missing value</t>
  </si>
  <si>
    <t xml:space="preserve">Inconsistent</t>
  </si>
  <si>
    <t xml:space="preserve">Wrong date</t>
  </si>
  <si>
    <t xml:space="preserve">Wrong code</t>
  </si>
  <si>
    <t xml:space="preserve">Other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</si>
</sst>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20"/>
      <color rgb="FF0F2430"/>
      <name val="Arial"/>
      <family val="0"/>
      <charset val="1"/>
    </font>
    <font>
      <sz val="11"/>
      <color rgb="FF475D68"/>
      <name val="Arial"/>
      <family val="0"/>
      <charset val="1"/>
    </font>
    <font>
      <b val="true"/>
      <sz val="9"/>
      <color rgb="FF0B7A5C"/>
      <name val="Arial"/>
      <family val="0"/>
      <charset val="1"/>
    </font>
    <font>
      <b val="true"/>
      <sz val="10"/>
      <color rgb="FF0F2430"/>
      <name val="Arial"/>
      <family val="0"/>
      <charset val="1"/>
    </font>
    <font>
      <sz val="10"/>
      <color rgb="FF0F2430"/>
      <name val="Arial"/>
      <family val="0"/>
      <charset val="1"/>
    </font>
    <font>
      <b val="true"/>
      <sz val="10"/>
      <color rgb="FFD68A00"/>
      <name val="Arial"/>
      <family val="0"/>
      <charset val="1"/>
    </font>
    <font>
      <sz val="9"/>
      <color rgb="FF475D68"/>
      <name val="Arial"/>
      <family val="0"/>
      <charset val="1"/>
    </font>
    <font>
      <b val="true"/>
      <sz val="16"/>
      <color rgb="FF0F2430"/>
      <name val="Arial"/>
      <family val="0"/>
      <charset val="1"/>
    </font>
    <font>
      <i val="true"/>
      <sz val="9"/>
      <color rgb="FF475D6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7A5C"/>
        <bgColor rgb="FF008080"/>
      </patternFill>
    </fill>
    <fill>
      <patternFill patternType="solid">
        <fgColor rgb="FFFFFFFF"/>
        <bgColor rgb="FFF3F6F4"/>
      </patternFill>
    </fill>
    <fill>
      <patternFill patternType="solid">
        <fgColor rgb="FFF3F6F4"/>
        <bgColor rgb="FFFFFFFF"/>
      </patternFill>
    </fill>
    <fill>
      <patternFill patternType="solid">
        <fgColor rgb="FFFBEBC8"/>
        <bgColor rgb="FFFDE2E1"/>
      </patternFill>
    </fill>
    <fill>
      <patternFill patternType="solid">
        <fgColor rgb="FFDDF0E8"/>
        <bgColor rgb="FFF3F6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ED9"/>
      </left>
      <right style="thin">
        <color rgb="FFD3DED9"/>
      </right>
      <top style="thin">
        <color rgb="FFD3DED9"/>
      </top>
      <bottom style="thin">
        <color rgb="FFD3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B7A5C"/>
          <bgColor rgb="FF000000"/>
        </patternFill>
      </fill>
    </dxf>
    <dxf>
      <fill>
        <patternFill patternType="solid">
          <fgColor rgb="FFFBEBC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2430"/>
          <bgColor rgb="FF000000"/>
        </patternFill>
      </fill>
    </dxf>
    <dxf>
      <fill>
        <patternFill patternType="solid">
          <fgColor rgb="FFDDF0E8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7A4A00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7A4A00"/>
      </font>
      <fill>
        <patternFill>
          <bgColor rgb="FFFBEBC8"/>
        </patternFill>
      </fill>
    </dxf>
    <dxf>
      <font>
        <name val="Arial"/>
        <charset val="1"/>
        <family val="0"/>
        <b val="1"/>
        <color rgb="FF0B7A5C"/>
      </font>
      <fill>
        <patternFill>
          <bgColor rgb="FFDDF0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A00"/>
      <rgbColor rgb="FF800080"/>
      <rgbColor rgb="FF0B7A5C"/>
      <rgbColor rgb="FFC0C0C0"/>
      <rgbColor rgb="FF808080"/>
      <rgbColor rgb="FF9999FF"/>
      <rgbColor rgb="FF993366"/>
      <rgbColor rgb="FFFBEBC8"/>
      <rgbColor rgb="FFDDF0E8"/>
      <rgbColor rgb="FF660066"/>
      <rgbColor rgb="FFFF8080"/>
      <rgbColor rgb="FF0066CC"/>
      <rgbColor rgb="FFD3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4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D68A00"/>
      <rgbColor rgb="FFFF6600"/>
      <rgbColor rgb="FF475D68"/>
      <rgbColor rgb="FF969696"/>
      <rgbColor rgb="FF003366"/>
      <rgbColor rgb="FF339966"/>
      <rgbColor rgb="FF0F243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1.75" hidden="false" customHeight="tru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5" customFormat="false" ht="30" hidden="false" customHeight="true" outlineLevel="0" collapsed="false">
      <c r="B5" s="3" t="s">
        <v>1</v>
      </c>
    </row>
    <row r="6" customFormat="false" ht="33.75" hidden="false" customHeight="true" outlineLevel="0" collapsed="false">
      <c r="B6" s="4" t="s">
        <v>2</v>
      </c>
      <c r="C6" s="4"/>
    </row>
    <row r="8" customFormat="false" ht="15" hidden="false" customHeight="false" outlineLevel="0" collapsed="false">
      <c r="B8" s="5" t="s">
        <v>3</v>
      </c>
    </row>
    <row r="9" customFormat="false" ht="30" hidden="false" customHeight="true" outlineLevel="0" collapsed="false">
      <c r="B9" s="6" t="s">
        <v>4</v>
      </c>
      <c r="C9" s="7" t="s">
        <v>5</v>
      </c>
    </row>
    <row r="10" customFormat="false" ht="30" hidden="false" customHeight="true" outlineLevel="0" collapsed="false">
      <c r="B10" s="6" t="s">
        <v>6</v>
      </c>
      <c r="C10" s="7" t="s">
        <v>7</v>
      </c>
    </row>
    <row r="11" customFormat="false" ht="30" hidden="false" customHeight="true" outlineLevel="0" collapsed="false">
      <c r="B11" s="6" t="s">
        <v>8</v>
      </c>
      <c r="C11" s="7" t="s">
        <v>9</v>
      </c>
    </row>
    <row r="12" customFormat="false" ht="30" hidden="false" customHeight="true" outlineLevel="0" collapsed="false">
      <c r="B12" s="6" t="s">
        <v>10</v>
      </c>
      <c r="C12" s="7" t="s">
        <v>11</v>
      </c>
    </row>
    <row r="13" customFormat="false" ht="30" hidden="false" customHeight="true" outlineLevel="0" collapsed="false">
      <c r="B13" s="6" t="s">
        <v>12</v>
      </c>
      <c r="C13" s="7" t="s">
        <v>13</v>
      </c>
    </row>
    <row r="15" customFormat="false" ht="15" hidden="false" customHeight="false" outlineLevel="0" collapsed="false">
      <c r="B15" s="5" t="s">
        <v>14</v>
      </c>
    </row>
    <row r="16" customFormat="false" ht="15" hidden="false" customHeight="false" outlineLevel="0" collapsed="false">
      <c r="B16" s="8"/>
      <c r="C16" s="9" t="s">
        <v>15</v>
      </c>
    </row>
    <row r="17" customFormat="false" ht="15" hidden="false" customHeight="false" outlineLevel="0" collapsed="false">
      <c r="B17" s="10"/>
      <c r="C17" s="9" t="s">
        <v>16</v>
      </c>
    </row>
    <row r="18" customFormat="false" ht="15" hidden="false" customHeight="false" outlineLevel="0" collapsed="false">
      <c r="B18" s="11"/>
      <c r="C18" s="9" t="s">
        <v>17</v>
      </c>
    </row>
    <row r="20" customFormat="false" ht="15" hidden="false" customHeight="false" outlineLevel="0" collapsed="false">
      <c r="B20" s="12" t="s">
        <v>18</v>
      </c>
      <c r="C20" s="12"/>
    </row>
    <row r="22" customFormat="false" ht="15" hidden="false" customHeight="false" outlineLevel="0" collapsed="false">
      <c r="B22" s="13" t="s">
        <v>19</v>
      </c>
      <c r="C22" s="13"/>
    </row>
  </sheetData>
  <mergeCells count="3">
    <mergeCell ref="B6:C6"/>
    <mergeCell ref="B20:C20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3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14" t="s">
        <v>1</v>
      </c>
    </row>
    <row r="2" customFormat="false" ht="15" hidden="false" customHeight="false" outlineLevel="0" collapsed="false">
      <c r="A2" s="15" t="s">
        <v>20</v>
      </c>
    </row>
    <row r="4" customFormat="false" ht="33.75" hidden="false" customHeight="true" outlineLevel="0" collapsed="false">
      <c r="A4" s="16" t="s">
        <v>21</v>
      </c>
      <c r="B4" s="16" t="s">
        <v>22</v>
      </c>
      <c r="C4" s="16" t="s">
        <v>23</v>
      </c>
      <c r="D4" s="16" t="s">
        <v>24</v>
      </c>
      <c r="E4" s="16" t="s">
        <v>25</v>
      </c>
      <c r="F4" s="16" t="s">
        <v>26</v>
      </c>
      <c r="G4" s="16" t="s">
        <v>27</v>
      </c>
      <c r="H4" s="16" t="s">
        <v>28</v>
      </c>
      <c r="I4" s="16" t="s">
        <v>29</v>
      </c>
      <c r="J4" s="16" t="s">
        <v>30</v>
      </c>
      <c r="K4" s="16" t="s">
        <v>31</v>
      </c>
    </row>
    <row r="5" customFormat="false" ht="19.5" hidden="false" customHeight="true" outlineLevel="0" collapsed="false">
      <c r="A5" s="17" t="s">
        <v>32</v>
      </c>
      <c r="B5" s="17" t="s">
        <v>33</v>
      </c>
      <c r="C5" s="17" t="s">
        <v>34</v>
      </c>
      <c r="D5" s="17" t="s">
        <v>35</v>
      </c>
      <c r="E5" s="17" t="s">
        <v>36</v>
      </c>
      <c r="F5" s="17" t="s">
        <v>37</v>
      </c>
      <c r="G5" s="17" t="s">
        <v>38</v>
      </c>
      <c r="H5" s="17" t="s">
        <v>39</v>
      </c>
      <c r="I5" s="17" t="s">
        <v>40</v>
      </c>
      <c r="J5" s="17" t="s">
        <v>41</v>
      </c>
      <c r="K5" s="17" t="s">
        <v>42</v>
      </c>
    </row>
    <row r="6" customFormat="false" ht="19.5" hidden="false" customHeight="true" outlineLevel="0" collapsed="false">
      <c r="A6" s="17" t="s">
        <v>32</v>
      </c>
      <c r="B6" s="17" t="s">
        <v>33</v>
      </c>
      <c r="C6" s="17" t="s">
        <v>43</v>
      </c>
      <c r="D6" s="17" t="s">
        <v>44</v>
      </c>
      <c r="E6" s="17" t="s">
        <v>45</v>
      </c>
      <c r="F6" s="17" t="s">
        <v>46</v>
      </c>
      <c r="G6" s="17"/>
      <c r="H6" s="17" t="s">
        <v>47</v>
      </c>
      <c r="I6" s="17" t="s">
        <v>48</v>
      </c>
      <c r="J6" s="17" t="s">
        <v>41</v>
      </c>
      <c r="K6" s="17"/>
    </row>
    <row r="7" customFormat="false" ht="19.5" hidden="false" customHeight="true" outlineLevel="0" collapsed="false">
      <c r="A7" s="17" t="s">
        <v>42</v>
      </c>
      <c r="B7" s="17" t="s">
        <v>49</v>
      </c>
      <c r="C7" s="17" t="s">
        <v>50</v>
      </c>
      <c r="D7" s="17" t="s">
        <v>51</v>
      </c>
      <c r="E7" s="17" t="s">
        <v>52</v>
      </c>
      <c r="F7" s="17" t="s">
        <v>53</v>
      </c>
      <c r="G7" s="17"/>
      <c r="H7" s="17" t="s">
        <v>54</v>
      </c>
      <c r="I7" s="17" t="s">
        <v>55</v>
      </c>
      <c r="J7" s="17" t="s">
        <v>56</v>
      </c>
      <c r="K7" s="17"/>
    </row>
    <row r="8" customFormat="false" ht="19.5" hidden="false" customHeight="tru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customFormat="false" ht="19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 customFormat="false" ht="19.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customFormat="false" ht="19.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customFormat="false" ht="19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19.5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customFormat="false" ht="19.5" hidden="false" customHeight="tru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customFormat="false" ht="19.5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customFormat="false" ht="19.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customFormat="false" ht="19.5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customFormat="false" ht="19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customFormat="false" ht="19.5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customFormat="false" ht="19.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customFormat="false" ht="19.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customFormat="false" ht="19.5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customFormat="false" ht="19.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customFormat="false" ht="19.5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customFormat="false" ht="19.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customFormat="false" ht="19.5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customFormat="false" ht="19.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customFormat="false" ht="19.5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customFormat="false" ht="19.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customFormat="false" ht="19.5" hidden="false" customHeight="tru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customFormat="false" ht="19.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customFormat="false" ht="19.5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customFormat="false" ht="19.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customFormat="false" ht="19.5" hidden="false" customHeight="tru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customFormat="false" ht="19.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customFormat="false" ht="19.5" hidden="false" customHeight="tru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customFormat="false" ht="19.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customFormat="false" ht="19.5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customFormat="false" ht="19.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customFormat="false" ht="19.5" hidden="false" customHeight="tru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customFormat="false" ht="19.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customFormat="false" ht="19.5" hidden="false" customHeight="tru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customFormat="false" ht="19.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customFormat="false" ht="19.5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customFormat="false" ht="19.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customFormat="false" ht="19.5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customFormat="false" ht="19.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customFormat="false" ht="19.5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customFormat="false" ht="19.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customFormat="false" ht="19.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customFormat="false" ht="19.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customFormat="false" ht="19.5" hidden="false" customHeight="tru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customFormat="false" ht="19.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customFormat="false" ht="19.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customFormat="false" ht="19.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customFormat="false" ht="19.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customFormat="false" ht="19.5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customFormat="false" ht="19.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customFormat="false" ht="19.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customFormat="false" ht="19.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customFormat="false" ht="19.5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customFormat="false" ht="19.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customFormat="false" ht="19.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customFormat="false" ht="19.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customFormat="false" ht="19.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customFormat="false" ht="19.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customFormat="false" ht="19.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customFormat="false" ht="19.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customFormat="false" ht="19.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customFormat="false" ht="19.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customFormat="false" ht="19.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customFormat="false" ht="19.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customFormat="false" ht="19.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customFormat="false" ht="19.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customFormat="false" ht="19.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customFormat="false" ht="19.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customFormat="false" ht="19.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customFormat="false" ht="19.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customFormat="false" ht="19.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customFormat="false" ht="19.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customFormat="false" ht="19.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customFormat="false" ht="19.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customFormat="false" ht="19.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customFormat="false" ht="19.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customFormat="false" ht="19.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customFormat="false" ht="19.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customFormat="false" ht="19.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customFormat="false" ht="19.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customFormat="false" ht="19.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customFormat="false" ht="19.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customFormat="false" ht="19.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customFormat="false" ht="19.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customFormat="false" ht="19.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customFormat="false" ht="19.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customFormat="false" ht="19.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customFormat="false" ht="19.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customFormat="false" ht="19.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customFormat="false" ht="19.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customFormat="false" ht="19.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customFormat="false" ht="19.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customFormat="false" ht="19.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 customFormat="false" ht="19.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customFormat="false" ht="19.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customFormat="false" ht="19.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 customFormat="false" ht="19.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customFormat="false" ht="19.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 customFormat="false" ht="19.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 customFormat="false" ht="19.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customFormat="false" ht="19.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customFormat="false" ht="19.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 customFormat="false" ht="19.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customFormat="false" ht="19.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</row>
    <row r="113" customFormat="false" ht="19.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</row>
    <row r="114" customFormat="false" ht="19.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5" customFormat="false" ht="19.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</row>
    <row r="116" customFormat="false" ht="19.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 customFormat="false" ht="19.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</row>
    <row r="118" customFormat="false" ht="19.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 customFormat="false" ht="19.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 customFormat="false" ht="19.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 customFormat="false" ht="19.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 customFormat="false" ht="19.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 customFormat="false" ht="19.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customFormat="false" ht="19.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</row>
    <row r="125" customFormat="false" ht="19.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 customFormat="false" ht="19.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customFormat="false" ht="19.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 customFormat="false" ht="19.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 customFormat="false" ht="19.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</row>
    <row r="130" customFormat="false" ht="19.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customFormat="false" ht="19.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 customFormat="false" ht="19.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customFormat="false" ht="19.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 customFormat="false" ht="19.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 customFormat="false" ht="19.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 customFormat="false" ht="19.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 customFormat="false" ht="19.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</row>
    <row r="138" customFormat="false" ht="19.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39" customFormat="false" ht="19.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</row>
    <row r="140" customFormat="false" ht="19.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 customFormat="false" ht="19.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</row>
    <row r="142" customFormat="false" ht="19.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</row>
    <row r="143" customFormat="false" ht="19.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</row>
    <row r="144" customFormat="false" ht="19.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 customFormat="false" ht="19.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6" customFormat="false" ht="19.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  <row r="147" customFormat="false" ht="19.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 customFormat="false" ht="19.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 customFormat="false" ht="19.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 customFormat="false" ht="19.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 customFormat="false" ht="19.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 customFormat="false" ht="19.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3" customFormat="false" ht="19.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</row>
    <row r="154" customFormat="false" ht="19.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 customFormat="false" ht="19.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</row>
    <row r="156" customFormat="false" ht="19.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</row>
    <row r="157" customFormat="false" ht="19.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</row>
    <row r="158" customFormat="false" ht="19.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</row>
    <row r="159" customFormat="false" ht="19.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</row>
    <row r="160" customFormat="false" ht="19.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customFormat="false" ht="19.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 customFormat="false" ht="19.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 customFormat="false" ht="19.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customFormat="false" ht="19.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5" customFormat="false" ht="19.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 customFormat="false" ht="19.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 customFormat="false" ht="19.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 customFormat="false" ht="19.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  <row r="169" customFormat="false" ht="19.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</row>
    <row r="170" customFormat="false" ht="19.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</row>
    <row r="171" customFormat="false" ht="19.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2" customFormat="false" ht="19.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</row>
    <row r="173" customFormat="false" ht="19.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 customFormat="false" ht="19.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</row>
    <row r="175" customFormat="false" ht="19.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</row>
    <row r="176" customFormat="false" ht="19.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</row>
    <row r="177" customFormat="false" ht="19.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 customFormat="false" ht="19.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 customFormat="false" ht="19.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</row>
    <row r="180" customFormat="false" ht="19.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 customFormat="false" ht="19.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</row>
    <row r="182" customFormat="false" ht="19.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</row>
    <row r="183" customFormat="false" ht="19.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</row>
    <row r="184" customFormat="false" ht="19.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</row>
    <row r="185" customFormat="false" ht="19.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</row>
    <row r="186" customFormat="false" ht="19.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</row>
    <row r="187" customFormat="false" ht="19.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</row>
    <row r="188" customFormat="false" ht="19.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</row>
    <row r="189" customFormat="false" ht="19.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</row>
    <row r="190" customFormat="false" ht="19.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</row>
    <row r="191" customFormat="false" ht="19.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</row>
    <row r="192" customFormat="false" ht="19.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</row>
    <row r="193" customFormat="false" ht="19.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</row>
    <row r="194" customFormat="false" ht="19.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</row>
    <row r="195" customFormat="false" ht="19.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</row>
    <row r="196" customFormat="false" ht="19.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</row>
    <row r="197" customFormat="false" ht="19.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</row>
    <row r="198" customFormat="false" ht="19.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</row>
    <row r="199" customFormat="false" ht="19.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</row>
    <row r="200" customFormat="false" ht="19.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</row>
    <row r="201" customFormat="false" ht="19.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</row>
    <row r="202" customFormat="false" ht="19.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</row>
    <row r="203" customFormat="false" ht="19.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</row>
    <row r="204" customFormat="false" ht="19.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</row>
    <row r="205" customFormat="false" ht="19.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</row>
    <row r="206" customFormat="false" ht="19.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</row>
    <row r="207" customFormat="false" ht="19.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</row>
  </sheetData>
  <autoFilter ref="A4:K207"/>
  <conditionalFormatting sqref="I5:I207">
    <cfRule type="expression" priority="2" aboveAverage="0" equalAverage="0" bottom="0" percent="0" rank="0" text="" dxfId="8">
      <formula>I5="Open"</formula>
    </cfRule>
    <cfRule type="expression" priority="3" aboveAverage="0" equalAverage="0" bottom="0" percent="0" rank="0" text="" dxfId="9">
      <formula>I5="Query sent"</formula>
    </cfRule>
    <cfRule type="expression" priority="4" aboveAverage="0" equalAverage="0" bottom="0" percent="0" rank="0" text="" dxfId="10">
      <formula>I5="Fixed"</formula>
    </cfRule>
  </conditionalFormatting>
  <dataValidations count="2">
    <dataValidation allowBlank="true" error="Choose a value from the list" errorStyle="stop" errorTitle="Not in the list" operator="between" showDropDown="false" showErrorMessage="false" showInputMessage="false" sqref="E5:E207" type="list">
      <formula1>"Missing value,Duplicate,Out of range,Inconsistent,GPS error,Wrong date,Wrong code,Other"</formula1>
      <formula2>0</formula2>
    </dataValidation>
    <dataValidation allowBlank="true" error="Choose a value from the list" errorStyle="stop" errorTitle="Not in the list" operator="between" showDropDown="false" showErrorMessage="false" showInputMessage="false" sqref="I5:I207" type="list">
      <formula1>"Open,Query sent,Fixed,Cannot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&amp;Lalhajiimehemoh.github.io&amp;RPage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2"/>
  </cols>
  <sheetData>
    <row r="1" customFormat="false" ht="19.7" hidden="false" customHeight="false" outlineLevel="0" collapsed="false">
      <c r="A1" s="14" t="s">
        <v>57</v>
      </c>
    </row>
    <row r="2" customFormat="false" ht="15" hidden="false" customHeight="false" outlineLevel="0" collapsed="false">
      <c r="A2" s="19" t="s">
        <v>58</v>
      </c>
    </row>
    <row r="4" customFormat="false" ht="15" hidden="false" customHeight="false" outlineLevel="0" collapsed="false">
      <c r="A4" s="20" t="s">
        <v>25</v>
      </c>
      <c r="B4" s="20" t="s">
        <v>55</v>
      </c>
      <c r="C4" s="20" t="s">
        <v>48</v>
      </c>
      <c r="D4" s="20" t="s">
        <v>40</v>
      </c>
      <c r="E4" s="20" t="s">
        <v>59</v>
      </c>
      <c r="F4" s="20" t="s">
        <v>60</v>
      </c>
    </row>
    <row r="5" customFormat="false" ht="15" hidden="false" customHeight="false" outlineLevel="0" collapsed="false">
      <c r="A5" s="21" t="s">
        <v>61</v>
      </c>
      <c r="B5" s="22" t="n">
        <f aca="false">COUNTIFS(Log!$E$5:$E$207,$A5,Log!$I$5:$I$207,"Open")</f>
        <v>0</v>
      </c>
      <c r="C5" s="22" t="n">
        <f aca="false">COUNTIFS(Log!$E$5:$E$207,$A5,Log!$I$5:$I$207,"Query sent")</f>
        <v>0</v>
      </c>
      <c r="D5" s="22" t="n">
        <f aca="false">COUNTIFS(Log!$E$5:$E$207,$A5,Log!$I$5:$I$207,"Fixed")</f>
        <v>0</v>
      </c>
      <c r="E5" s="22" t="n">
        <f aca="false">COUNTIFS(Log!$E$5:$E$207,$A5,Log!$I$5:$I$207,"Cannot fix")</f>
        <v>0</v>
      </c>
      <c r="F5" s="22" t="n">
        <f aca="false">SUM(B5:E5)</f>
        <v>0</v>
      </c>
    </row>
    <row r="6" customFormat="false" ht="15" hidden="false" customHeight="false" outlineLevel="0" collapsed="false">
      <c r="A6" s="21" t="s">
        <v>45</v>
      </c>
      <c r="B6" s="22" t="n">
        <f aca="false">COUNTIFS(Log!$E$5:$E$207,$A6,Log!$I$5:$I$207,"Open")</f>
        <v>0</v>
      </c>
      <c r="C6" s="22" t="n">
        <f aca="false">COUNTIFS(Log!$E$5:$E$207,$A6,Log!$I$5:$I$207,"Query sent")</f>
        <v>1</v>
      </c>
      <c r="D6" s="22" t="n">
        <f aca="false">COUNTIFS(Log!$E$5:$E$207,$A6,Log!$I$5:$I$207,"Fixed")</f>
        <v>0</v>
      </c>
      <c r="E6" s="22" t="n">
        <f aca="false">COUNTIFS(Log!$E$5:$E$207,$A6,Log!$I$5:$I$207,"Cannot fix")</f>
        <v>0</v>
      </c>
      <c r="F6" s="22" t="n">
        <f aca="false">SUM(B6:E6)</f>
        <v>1</v>
      </c>
    </row>
    <row r="7" customFormat="false" ht="15" hidden="false" customHeight="false" outlineLevel="0" collapsed="false">
      <c r="A7" s="21" t="s">
        <v>36</v>
      </c>
      <c r="B7" s="22" t="n">
        <f aca="false">COUNTIFS(Log!$E$5:$E$207,$A7,Log!$I$5:$I$207,"Open")</f>
        <v>0</v>
      </c>
      <c r="C7" s="22" t="n">
        <f aca="false">COUNTIFS(Log!$E$5:$E$207,$A7,Log!$I$5:$I$207,"Query sent")</f>
        <v>0</v>
      </c>
      <c r="D7" s="22" t="n">
        <f aca="false">COUNTIFS(Log!$E$5:$E$207,$A7,Log!$I$5:$I$207,"Fixed")</f>
        <v>1</v>
      </c>
      <c r="E7" s="22" t="n">
        <f aca="false">COUNTIFS(Log!$E$5:$E$207,$A7,Log!$I$5:$I$207,"Cannot fix")</f>
        <v>0</v>
      </c>
      <c r="F7" s="22" t="n">
        <f aca="false">SUM(B7:E7)</f>
        <v>1</v>
      </c>
    </row>
    <row r="8" customFormat="false" ht="15" hidden="false" customHeight="false" outlineLevel="0" collapsed="false">
      <c r="A8" s="21" t="s">
        <v>62</v>
      </c>
      <c r="B8" s="22" t="n">
        <f aca="false">COUNTIFS(Log!$E$5:$E$207,$A8,Log!$I$5:$I$207,"Open")</f>
        <v>0</v>
      </c>
      <c r="C8" s="22" t="n">
        <f aca="false">COUNTIFS(Log!$E$5:$E$207,$A8,Log!$I$5:$I$207,"Query sent")</f>
        <v>0</v>
      </c>
      <c r="D8" s="22" t="n">
        <f aca="false">COUNTIFS(Log!$E$5:$E$207,$A8,Log!$I$5:$I$207,"Fixed")</f>
        <v>0</v>
      </c>
      <c r="E8" s="22" t="n">
        <f aca="false">COUNTIFS(Log!$E$5:$E$207,$A8,Log!$I$5:$I$207,"Cannot fix")</f>
        <v>0</v>
      </c>
      <c r="F8" s="22" t="n">
        <f aca="false">SUM(B8:E8)</f>
        <v>0</v>
      </c>
    </row>
    <row r="9" customFormat="false" ht="15" hidden="false" customHeight="false" outlineLevel="0" collapsed="false">
      <c r="A9" s="21" t="s">
        <v>52</v>
      </c>
      <c r="B9" s="22" t="n">
        <f aca="false">COUNTIFS(Log!$E$5:$E$207,$A9,Log!$I$5:$I$207,"Open")</f>
        <v>1</v>
      </c>
      <c r="C9" s="22" t="n">
        <f aca="false">COUNTIFS(Log!$E$5:$E$207,$A9,Log!$I$5:$I$207,"Query sent")</f>
        <v>0</v>
      </c>
      <c r="D9" s="22" t="n">
        <f aca="false">COUNTIFS(Log!$E$5:$E$207,$A9,Log!$I$5:$I$207,"Fixed")</f>
        <v>0</v>
      </c>
      <c r="E9" s="22" t="n">
        <f aca="false">COUNTIFS(Log!$E$5:$E$207,$A9,Log!$I$5:$I$207,"Cannot fix")</f>
        <v>0</v>
      </c>
      <c r="F9" s="22" t="n">
        <f aca="false">SUM(B9:E9)</f>
        <v>1</v>
      </c>
    </row>
    <row r="10" customFormat="false" ht="15" hidden="false" customHeight="false" outlineLevel="0" collapsed="false">
      <c r="A10" s="21" t="s">
        <v>63</v>
      </c>
      <c r="B10" s="22" t="n">
        <f aca="false">COUNTIFS(Log!$E$5:$E$207,$A10,Log!$I$5:$I$207,"Open")</f>
        <v>0</v>
      </c>
      <c r="C10" s="22" t="n">
        <f aca="false">COUNTIFS(Log!$E$5:$E$207,$A10,Log!$I$5:$I$207,"Query sent")</f>
        <v>0</v>
      </c>
      <c r="D10" s="22" t="n">
        <f aca="false">COUNTIFS(Log!$E$5:$E$207,$A10,Log!$I$5:$I$207,"Fixed")</f>
        <v>0</v>
      </c>
      <c r="E10" s="22" t="n">
        <f aca="false">COUNTIFS(Log!$E$5:$E$207,$A10,Log!$I$5:$I$207,"Cannot fix")</f>
        <v>0</v>
      </c>
      <c r="F10" s="22" t="n">
        <f aca="false">SUM(B10:E10)</f>
        <v>0</v>
      </c>
    </row>
    <row r="11" customFormat="false" ht="15" hidden="false" customHeight="false" outlineLevel="0" collapsed="false">
      <c r="A11" s="21" t="s">
        <v>64</v>
      </c>
      <c r="B11" s="22" t="n">
        <f aca="false">COUNTIFS(Log!$E$5:$E$207,$A11,Log!$I$5:$I$207,"Open")</f>
        <v>0</v>
      </c>
      <c r="C11" s="22" t="n">
        <f aca="false">COUNTIFS(Log!$E$5:$E$207,$A11,Log!$I$5:$I$207,"Query sent")</f>
        <v>0</v>
      </c>
      <c r="D11" s="22" t="n">
        <f aca="false">COUNTIFS(Log!$E$5:$E$207,$A11,Log!$I$5:$I$207,"Fixed")</f>
        <v>0</v>
      </c>
      <c r="E11" s="22" t="n">
        <f aca="false">COUNTIFS(Log!$E$5:$E$207,$A11,Log!$I$5:$I$207,"Cannot fix")</f>
        <v>0</v>
      </c>
      <c r="F11" s="22" t="n">
        <f aca="false">SUM(B11:E11)</f>
        <v>0</v>
      </c>
    </row>
    <row r="12" customFormat="false" ht="15" hidden="false" customHeight="false" outlineLevel="0" collapsed="false">
      <c r="A12" s="21" t="s">
        <v>65</v>
      </c>
      <c r="B12" s="22" t="n">
        <f aca="false">COUNTIFS(Log!$E$5:$E$207,$A12,Log!$I$5:$I$207,"Open")</f>
        <v>0</v>
      </c>
      <c r="C12" s="22" t="n">
        <f aca="false">COUNTIFS(Log!$E$5:$E$207,$A12,Log!$I$5:$I$207,"Query sent")</f>
        <v>0</v>
      </c>
      <c r="D12" s="22" t="n">
        <f aca="false">COUNTIFS(Log!$E$5:$E$207,$A12,Log!$I$5:$I$207,"Fixed")</f>
        <v>0</v>
      </c>
      <c r="E12" s="22" t="n">
        <f aca="false">COUNTIFS(Log!$E$5:$E$207,$A12,Log!$I$5:$I$207,"Cannot fix")</f>
        <v>0</v>
      </c>
      <c r="F12" s="22" t="n">
        <f aca="false">SUM(B12:E12)</f>
        <v>0</v>
      </c>
    </row>
    <row r="13" customFormat="false" ht="15" hidden="false" customHeight="false" outlineLevel="0" collapsed="false">
      <c r="A13" s="23" t="s">
        <v>60</v>
      </c>
      <c r="B13" s="24" t="n">
        <f aca="false">SUM(B5:B12)</f>
        <v>1</v>
      </c>
      <c r="C13" s="24" t="n">
        <f aca="false">SUM(C5:C12)</f>
        <v>1</v>
      </c>
      <c r="D13" s="24" t="n">
        <f aca="false">SUM(D5:D12)</f>
        <v>1</v>
      </c>
      <c r="E13" s="24" t="n">
        <f aca="false">SUM(E5:E12)</f>
        <v>0</v>
      </c>
      <c r="F13" s="24" t="n">
        <f aca="false">SUM(F5:F12)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2026-10-22T17:54:35Z</dcterms:created>
  <dc:creator>openpyxl</dc:creator>
  <dc:description/>
  <dc:language>en-US</dc:language>
  <cp:lastModifiedBy/>
  <dcterms:modified xsi:type="dcterms:W3CDTF">2026-10-22T17:54:35Z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