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Stock" sheetId="2" state="visible" r:id="rId4"/>
    <sheet name="Settings" sheetId="3" state="visible" r:id="rId5"/>
  </sheets>
  <definedNames>
    <definedName function="false" hidden="false" localSheetId="1" name="_xlnm.Print_Titles" vbProcedure="false">Stock!$4:$4</definedName>
    <definedName function="false" hidden="true" localSheetId="1" name="_xlnm._FilterDatabase" vbProcedure="false">Stock!$A$4:$K$47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<sst xmlns="http://schemas.openxmlformats.org/spreadsheetml/2006/main" count="48" uniqueCount="46">
  <si>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Alhaji Ibrahim Mehemoh  ·  Free resource</t>
  </si>
  <si>
    <t xml:space="preserve">Stock tracker</t>
  </si>
  <si>
    <t xml:space="preserve">Monthly stock balance for a clinic, store or small programme, with months of stock and reorder flags.</t>
  </si>
  <si>
    <t xml:space="preserve">HOW TO USE</t>
  </si>
  <si>
    <t xml:space="preserve">Step 1</t>
  </si>
  <si>
    <t xml:space="preserve">Use one copy per store per month. Write the store name and month in the file name.</t>
  </si>
  <si>
    <t xml:space="preserve">Step 2</t>
  </si>
  <si>
    <t xml:space="preserve">List each item once in the Stock sheet with its unit, for example "tablets" or "vials".</t>
  </si>
  <si>
    <t xml:space="preserve">Step 3</t>
  </si>
  <si>
    <t xml:space="preserve">Fill opening stock, quantity received, quantity issued and any losses or adjustments.</t>
  </si>
  <si>
    <t xml:space="preserve">Step 4</t>
  </si>
  <si>
    <t xml:space="preserve">Enter the average monthly use, from the last three months if you have it.</t>
  </si>
  <si>
    <t xml:space="preserve">Step 5</t>
  </si>
  <si>
    <t xml:space="preserve">Set minimum and maximum months of stock in the Settings sheet. Status turns REORDER or OVERSTOCK by itself.</t>
  </si>
  <si>
    <t xml:space="preserve">COLOUR KEY</t>
  </si>
  <si>
    <t xml:space="preserve">White cells: type your data here</t>
  </si>
  <si>
    <t xml:space="preserve">Grey cells: formulas, do not type over them</t>
  </si>
  <si>
    <t xml:space="preserve">Amber rows: an example. Delete or overwrite it when you start</t>
  </si>
  <si>
    <t xml:space="preserve">Privacy: do not store patient names, phone numbers or ID numbers in this file.</t>
  </si>
  <si>
    <t xml:space="preserve">Free to use and adapt. Please keep this credit line.  ·  alhajiimehemoh.github.io  ·  Need it tailored? alhajiimehemoh@gmail.com</t>
  </si>
  <si>
    <t xml:space="preserve">Monthly stock balance</t>
  </si>
  <si>
    <t xml:space="preserve">Type in white cells. Grey cells calculate automatically. See the How to use sheet.</t>
  </si>
  <si>
    <t xml:space="preserve">Item</t>
  </si>
  <si>
    <t xml:space="preserve">Unit</t>
  </si>
  <si>
    <t xml:space="preserve">Opening stock</t>
  </si>
  <si>
    <t xml:space="preserve">Received</t>
  </si>
  <si>
    <t xml:space="preserve">Issued</t>
  </si>
  <si>
    <t xml:space="preserve">Losses or adjustments</t>
  </si>
  <si>
    <t xml:space="preserve">Closing stock</t>
  </si>
  <si>
    <t xml:space="preserve">Average monthly use</t>
  </si>
  <si>
    <t xml:space="preserve">Months of stock</t>
  </si>
  <si>
    <t xml:space="preserve">Status</t>
  </si>
  <si>
    <t xml:space="preserve">Notes</t>
  </si>
  <si>
    <t xml:space="preserve">Example: Paracetamol 500 mg</t>
  </si>
  <si>
    <t xml:space="preserve">tablets</t>
  </si>
  <si>
    <t xml:space="preserve">Example row</t>
  </si>
  <si>
    <t xml:space="preserve">Example: ORS sachets</t>
  </si>
  <si>
    <t xml:space="preserve">sachets</t>
  </si>
  <si>
    <t xml:space="preserve">Example: Gloves (box of 100)</t>
  </si>
  <si>
    <t xml:space="preserve">boxes</t>
  </si>
  <si>
    <t xml:space="preserve">Settings</t>
  </si>
  <si>
    <t xml:space="preserve">Minimum months of stock</t>
  </si>
  <si>
    <t xml:space="preserve">Below this, Status shows REORDER</t>
  </si>
  <si>
    <t xml:space="preserve">Maximum months of stock</t>
  </si>
  <si>
    <t xml:space="preserve">Above this, Status shows OVERSTOCK</t>
  </si>
  <si>
    <t xml:space="preserve">These are common starting points. Use the levels your programme or national supply chain guidance sets.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</si>
</sst>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20"/>
      <color rgb="FF0F2430"/>
      <name val="Arial"/>
      <family val="0"/>
      <charset val="1"/>
    </font>
    <font>
      <sz val="11"/>
      <color rgb="FF475D68"/>
      <name val="Arial"/>
      <family val="0"/>
      <charset val="1"/>
    </font>
    <font>
      <b val="true"/>
      <sz val="9"/>
      <color rgb="FF0B7A5C"/>
      <name val="Arial"/>
      <family val="0"/>
      <charset val="1"/>
    </font>
    <font>
      <b val="true"/>
      <sz val="10"/>
      <color rgb="FF0F2430"/>
      <name val="Arial"/>
      <family val="0"/>
      <charset val="1"/>
    </font>
    <font>
      <sz val="10"/>
      <color rgb="FF0F2430"/>
      <name val="Arial"/>
      <family val="0"/>
      <charset val="1"/>
    </font>
    <font>
      <b val="true"/>
      <sz val="10"/>
      <color rgb="FFD68A00"/>
      <name val="Arial"/>
      <family val="0"/>
      <charset val="1"/>
    </font>
    <font>
      <sz val="9"/>
      <color rgb="FF475D68"/>
      <name val="Arial"/>
      <family val="0"/>
      <charset val="1"/>
    </font>
    <font>
      <b val="true"/>
      <sz val="16"/>
      <color rgb="FF0F243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75D6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FFFFFF"/>
        <bgColor rgb="FFF3F6F4"/>
      </patternFill>
    </fill>
    <fill>
      <patternFill patternType="solid">
        <fgColor rgb="FFF3F6F4"/>
        <bgColor rgb="FFFFFFFF"/>
      </patternFill>
    </fill>
    <fill>
      <patternFill patternType="solid">
        <fgColor rgb="FFFBEBC8"/>
        <bgColor rgb="FFFDE2E1"/>
      </patternFill>
    </fill>
    <fill>
      <patternFill patternType="solid">
        <fgColor rgb="FF0F243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7A5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430"/>
          <bgColor rgb="FF000000"/>
        </patternFill>
      </fill>
    </dxf>
    <dxf>
      <fill>
        <patternFill patternType="solid">
          <fgColor rgb="FFF3F6F4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7A4A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BEBC8"/>
        </patternFill>
      </fill>
    </dxf>
    <dxf>
      <font>
        <name val="Arial"/>
        <charset val="1"/>
        <family val="0"/>
        <b val="1"/>
        <color rgb="FF0B7A5C"/>
      </font>
      <fill>
        <patternFill>
          <bgColor rgb="FFDDF0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A00"/>
      <rgbColor rgb="FF800080"/>
      <rgbColor rgb="FF0B7A5C"/>
      <rgbColor rgb="FFC0C0C0"/>
      <rgbColor rgb="FF808080"/>
      <rgbColor rgb="FF9999FF"/>
      <rgbColor rgb="FF993366"/>
      <rgbColor rgb="FFFBEBC8"/>
      <rgbColor rgb="FFDDF0E8"/>
      <rgbColor rgb="FF660066"/>
      <rgbColor rgb="FFFF8080"/>
      <rgbColor rgb="FF0066CC"/>
      <rgbColor rgb="FFD3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D68A00"/>
      <rgbColor rgb="FFFF6600"/>
      <rgbColor rgb="FF475D68"/>
      <rgbColor rgb="FF969696"/>
      <rgbColor rgb="FF003366"/>
      <rgbColor rgb="FF339966"/>
      <rgbColor rgb="FF0F243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1.75" hidden="false" customHeight="tru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5" customFormat="false" ht="30" hidden="false" customHeight="true" outlineLevel="0" collapsed="false">
      <c r="B5" s="3" t="s">
        <v>1</v>
      </c>
    </row>
    <row r="6" customFormat="false" ht="33.75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</row>
    <row r="9" customFormat="false" ht="30" hidden="false" customHeight="true" outlineLevel="0" collapsed="false">
      <c r="B9" s="6" t="s">
        <v>4</v>
      </c>
      <c r="C9" s="7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8"/>
      <c r="C16" s="9" t="s">
        <v>15</v>
      </c>
    </row>
    <row r="17" customFormat="false" ht="15" hidden="false" customHeight="false" outlineLevel="0" collapsed="false">
      <c r="B17" s="10"/>
      <c r="C17" s="9" t="s">
        <v>16</v>
      </c>
    </row>
    <row r="18" customFormat="false" ht="15" hidden="false" customHeight="false" outlineLevel="0" collapsed="false">
      <c r="B18" s="11"/>
      <c r="C18" s="9" t="s">
        <v>17</v>
      </c>
    </row>
    <row r="20" customFormat="false" ht="15" hidden="false" customHeight="false" outlineLevel="0" collapsed="false">
      <c r="B20" s="12" t="s">
        <v>18</v>
      </c>
      <c r="C20" s="12"/>
    </row>
    <row r="22" customFormat="false" ht="15" hidden="false" customHeight="false" outlineLevel="0" collapsed="false">
      <c r="B22" s="13" t="s">
        <v>19</v>
      </c>
      <c r="C22" s="13"/>
    </row>
  </sheetData>
  <mergeCells count="3">
    <mergeCell ref="B6:C6"/>
    <mergeCell ref="B20:C20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6"/>
  </cols>
  <sheetData>
    <row r="1" customFormat="false" ht="25.5" hidden="false" customHeight="true" outlineLevel="0" collapsed="false">
      <c r="A1" s="14" t="s">
        <v>20</v>
      </c>
    </row>
    <row r="2" customFormat="false" ht="15" hidden="false" customHeight="false" outlineLevel="0" collapsed="false">
      <c r="A2" s="15" t="s">
        <v>21</v>
      </c>
    </row>
    <row r="4" customFormat="false" ht="33.75" hidden="false" customHeight="true" outlineLevel="0" collapsed="false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7" t="s">
        <v>28</v>
      </c>
      <c r="H4" s="16" t="s">
        <v>29</v>
      </c>
      <c r="I4" s="17" t="s">
        <v>30</v>
      </c>
      <c r="J4" s="17" t="s">
        <v>31</v>
      </c>
      <c r="K4" s="16" t="s">
        <v>32</v>
      </c>
    </row>
    <row r="5" customFormat="false" ht="19.5" hidden="false" customHeight="true" outlineLevel="0" collapsed="false">
      <c r="A5" s="18" t="s">
        <v>33</v>
      </c>
      <c r="B5" s="18" t="s">
        <v>34</v>
      </c>
      <c r="C5" s="19" t="n">
        <v>1200</v>
      </c>
      <c r="D5" s="19" t="n">
        <v>500</v>
      </c>
      <c r="E5" s="19" t="n">
        <v>900</v>
      </c>
      <c r="F5" s="19" t="n">
        <v>0</v>
      </c>
      <c r="G5" s="19" t="n">
        <f aca="false">IF(A5="","",C5+D5-E5-F5)</f>
        <v>800</v>
      </c>
      <c r="H5" s="19" t="n">
        <v>800</v>
      </c>
      <c r="I5" s="20" t="n">
        <f aca="false">IF(OR(A5="",N(H5)=0),"",ROUND(G5/H5,1))</f>
        <v>1</v>
      </c>
      <c r="J5" s="18" t="str">
        <f aca="false">IF(I5="","",IF(I5&lt;Settings!$B$3,"REORDER",IF(I5&gt;Settings!$B$4,"OVERSTOCK","OK")))</f>
        <v>REORDER</v>
      </c>
      <c r="K5" s="18" t="s">
        <v>35</v>
      </c>
    </row>
    <row r="6" customFormat="false" ht="19.5" hidden="false" customHeight="true" outlineLevel="0" collapsed="false">
      <c r="A6" s="18" t="s">
        <v>36</v>
      </c>
      <c r="B6" s="18" t="s">
        <v>37</v>
      </c>
      <c r="C6" s="19" t="n">
        <v>400</v>
      </c>
      <c r="D6" s="19" t="n">
        <v>600</v>
      </c>
      <c r="E6" s="19" t="n">
        <v>300</v>
      </c>
      <c r="F6" s="19" t="n">
        <v>20</v>
      </c>
      <c r="G6" s="19" t="n">
        <f aca="false">IF(A6="","",C6+D6-E6-F6)</f>
        <v>680</v>
      </c>
      <c r="H6" s="19" t="n">
        <v>250</v>
      </c>
      <c r="I6" s="20" t="n">
        <f aca="false">IF(OR(A6="",N(H6)=0),"",ROUND(G6/H6,1))</f>
        <v>2.7</v>
      </c>
      <c r="J6" s="18" t="str">
        <f aca="false">IF(I6="","",IF(I6&lt;Settings!$B$3,"REORDER",IF(I6&gt;Settings!$B$4,"OVERSTOCK","OK")))</f>
        <v>OK</v>
      </c>
      <c r="K6" s="18" t="s">
        <v>35</v>
      </c>
    </row>
    <row r="7" customFormat="false" ht="19.5" hidden="false" customHeight="true" outlineLevel="0" collapsed="false">
      <c r="A7" s="18" t="s">
        <v>38</v>
      </c>
      <c r="B7" s="18" t="s">
        <v>39</v>
      </c>
      <c r="C7" s="19" t="n">
        <v>90</v>
      </c>
      <c r="D7" s="19" t="n">
        <v>0</v>
      </c>
      <c r="E7" s="19" t="n">
        <v>10</v>
      </c>
      <c r="F7" s="19" t="n">
        <v>0</v>
      </c>
      <c r="G7" s="19" t="n">
        <f aca="false">IF(A7="","",C7+D7-E7-F7)</f>
        <v>80</v>
      </c>
      <c r="H7" s="19" t="n">
        <v>10</v>
      </c>
      <c r="I7" s="20" t="n">
        <f aca="false">IF(OR(A7="",N(H7)=0),"",ROUND(G7/H7,1))</f>
        <v>8</v>
      </c>
      <c r="J7" s="18" t="str">
        <f aca="false">IF(I7="","",IF(I7&lt;Settings!$B$3,"REORDER",IF(I7&gt;Settings!$B$4,"OVERSTOCK","OK")))</f>
        <v>OVERSTOCK</v>
      </c>
      <c r="K7" s="18" t="s">
        <v>35</v>
      </c>
    </row>
    <row r="8" customFormat="false" ht="19.5" hidden="false" customHeight="true" outlineLevel="0" collapsed="false">
      <c r="A8" s="21"/>
      <c r="B8" s="21"/>
      <c r="C8" s="22"/>
      <c r="D8" s="22"/>
      <c r="E8" s="22"/>
      <c r="F8" s="22"/>
      <c r="G8" s="23" t="str">
        <f aca="false">IF(A8="","",C8+D8-E8-F8)</f>
        <v/>
      </c>
      <c r="H8" s="22"/>
      <c r="I8" s="24" t="str">
        <f aca="false">IF(OR(A8="",N(H8)=0),"",ROUND(G8/H8,1))</f>
        <v/>
      </c>
      <c r="J8" s="25" t="str">
        <f aca="false">IF(I8="","",IF(I8&lt;Settings!$B$3,"REORDER",IF(I8&gt;Settings!$B$4,"OVERSTOCK","OK")))</f>
        <v/>
      </c>
      <c r="K8" s="21"/>
    </row>
    <row r="9" customFormat="false" ht="19.5" hidden="false" customHeight="true" outlineLevel="0" collapsed="false">
      <c r="A9" s="21"/>
      <c r="B9" s="21"/>
      <c r="C9" s="22"/>
      <c r="D9" s="22"/>
      <c r="E9" s="22"/>
      <c r="F9" s="22"/>
      <c r="G9" s="23" t="str">
        <f aca="false">IF(A9="","",C9+D9-E9-F9)</f>
        <v/>
      </c>
      <c r="H9" s="22"/>
      <c r="I9" s="24" t="str">
        <f aca="false">IF(OR(A9="",N(H9)=0),"",ROUND(G9/H9,1))</f>
        <v/>
      </c>
      <c r="J9" s="25" t="str">
        <f aca="false">IF(I9="","",IF(I9&lt;Settings!$B$3,"REORDER",IF(I9&gt;Settings!$B$4,"OVERSTOCK","OK")))</f>
        <v/>
      </c>
      <c r="K9" s="21"/>
    </row>
    <row r="10" customFormat="false" ht="19.5" hidden="false" customHeight="true" outlineLevel="0" collapsed="false">
      <c r="A10" s="21"/>
      <c r="B10" s="21"/>
      <c r="C10" s="22"/>
      <c r="D10" s="22"/>
      <c r="E10" s="22"/>
      <c r="F10" s="22"/>
      <c r="G10" s="23" t="str">
        <f aca="false">IF(A10="","",C10+D10-E10-F10)</f>
        <v/>
      </c>
      <c r="H10" s="22"/>
      <c r="I10" s="24" t="str">
        <f aca="false">IF(OR(A10="",N(H10)=0),"",ROUND(G10/H10,1))</f>
        <v/>
      </c>
      <c r="J10" s="25" t="str">
        <f aca="false">IF(I10="","",IF(I10&lt;Settings!$B$3,"REORDER",IF(I10&gt;Settings!$B$4,"OVERSTOCK","OK")))</f>
        <v/>
      </c>
      <c r="K10" s="21"/>
    </row>
    <row r="11" customFormat="false" ht="19.5" hidden="false" customHeight="true" outlineLevel="0" collapsed="false">
      <c r="A11" s="21"/>
      <c r="B11" s="21"/>
      <c r="C11" s="22"/>
      <c r="D11" s="22"/>
      <c r="E11" s="22"/>
      <c r="F11" s="22"/>
      <c r="G11" s="23" t="str">
        <f aca="false">IF(A11="","",C11+D11-E11-F11)</f>
        <v/>
      </c>
      <c r="H11" s="22"/>
      <c r="I11" s="24" t="str">
        <f aca="false">IF(OR(A11="",N(H11)=0),"",ROUND(G11/H11,1))</f>
        <v/>
      </c>
      <c r="J11" s="25" t="str">
        <f aca="false">IF(I11="","",IF(I11&lt;Settings!$B$3,"REORDER",IF(I11&gt;Settings!$B$4,"OVERSTOCK","OK")))</f>
        <v/>
      </c>
      <c r="K11" s="21"/>
    </row>
    <row r="12" customFormat="false" ht="19.5" hidden="false" customHeight="true" outlineLevel="0" collapsed="false">
      <c r="A12" s="21"/>
      <c r="B12" s="21"/>
      <c r="C12" s="22"/>
      <c r="D12" s="22"/>
      <c r="E12" s="22"/>
      <c r="F12" s="22"/>
      <c r="G12" s="23" t="str">
        <f aca="false">IF(A12="","",C12+D12-E12-F12)</f>
        <v/>
      </c>
      <c r="H12" s="22"/>
      <c r="I12" s="24" t="str">
        <f aca="false">IF(OR(A12="",N(H12)=0),"",ROUND(G12/H12,1))</f>
        <v/>
      </c>
      <c r="J12" s="25" t="str">
        <f aca="false">IF(I12="","",IF(I12&lt;Settings!$B$3,"REORDER",IF(I12&gt;Settings!$B$4,"OVERSTOCK","OK")))</f>
        <v/>
      </c>
      <c r="K12" s="21"/>
    </row>
    <row r="13" customFormat="false" ht="19.5" hidden="false" customHeight="true" outlineLevel="0" collapsed="false">
      <c r="A13" s="21"/>
      <c r="B13" s="21"/>
      <c r="C13" s="22"/>
      <c r="D13" s="22"/>
      <c r="E13" s="22"/>
      <c r="F13" s="22"/>
      <c r="G13" s="23" t="str">
        <f aca="false">IF(A13="","",C13+D13-E13-F13)</f>
        <v/>
      </c>
      <c r="H13" s="22"/>
      <c r="I13" s="24" t="str">
        <f aca="false">IF(OR(A13="",N(H13)=0),"",ROUND(G13/H13,1))</f>
        <v/>
      </c>
      <c r="J13" s="25" t="str">
        <f aca="false">IF(I13="","",IF(I13&lt;Settings!$B$3,"REORDER",IF(I13&gt;Settings!$B$4,"OVERSTOCK","OK")))</f>
        <v/>
      </c>
      <c r="K13" s="21"/>
    </row>
    <row r="14" customFormat="false" ht="19.5" hidden="false" customHeight="true" outlineLevel="0" collapsed="false">
      <c r="A14" s="21"/>
      <c r="B14" s="21"/>
      <c r="C14" s="22"/>
      <c r="D14" s="22"/>
      <c r="E14" s="22"/>
      <c r="F14" s="22"/>
      <c r="G14" s="23" t="str">
        <f aca="false">IF(A14="","",C14+D14-E14-F14)</f>
        <v/>
      </c>
      <c r="H14" s="22"/>
      <c r="I14" s="24" t="str">
        <f aca="false">IF(OR(A14="",N(H14)=0),"",ROUND(G14/H14,1))</f>
        <v/>
      </c>
      <c r="J14" s="25" t="str">
        <f aca="false">IF(I14="","",IF(I14&lt;Settings!$B$3,"REORDER",IF(I14&gt;Settings!$B$4,"OVERSTOCK","OK")))</f>
        <v/>
      </c>
      <c r="K14" s="21"/>
    </row>
    <row r="15" customFormat="false" ht="19.5" hidden="false" customHeight="true" outlineLevel="0" collapsed="false">
      <c r="A15" s="21"/>
      <c r="B15" s="21"/>
      <c r="C15" s="22"/>
      <c r="D15" s="22"/>
      <c r="E15" s="22"/>
      <c r="F15" s="22"/>
      <c r="G15" s="23" t="str">
        <f aca="false">IF(A15="","",C15+D15-E15-F15)</f>
        <v/>
      </c>
      <c r="H15" s="22"/>
      <c r="I15" s="24" t="str">
        <f aca="false">IF(OR(A15="",N(H15)=0),"",ROUND(G15/H15,1))</f>
        <v/>
      </c>
      <c r="J15" s="25" t="str">
        <f aca="false">IF(I15="","",IF(I15&lt;Settings!$B$3,"REORDER",IF(I15&gt;Settings!$B$4,"OVERSTOCK","OK")))</f>
        <v/>
      </c>
      <c r="K15" s="21"/>
    </row>
    <row r="16" customFormat="false" ht="19.5" hidden="false" customHeight="true" outlineLevel="0" collapsed="false">
      <c r="A16" s="21"/>
      <c r="B16" s="21"/>
      <c r="C16" s="22"/>
      <c r="D16" s="22"/>
      <c r="E16" s="22"/>
      <c r="F16" s="22"/>
      <c r="G16" s="23" t="str">
        <f aca="false">IF(A16="","",C16+D16-E16-F16)</f>
        <v/>
      </c>
      <c r="H16" s="22"/>
      <c r="I16" s="24" t="str">
        <f aca="false">IF(OR(A16="",N(H16)=0),"",ROUND(G16/H16,1))</f>
        <v/>
      </c>
      <c r="J16" s="25" t="str">
        <f aca="false">IF(I16="","",IF(I16&lt;Settings!$B$3,"REORDER",IF(I16&gt;Settings!$B$4,"OVERSTOCK","OK")))</f>
        <v/>
      </c>
      <c r="K16" s="21"/>
    </row>
    <row r="17" customFormat="false" ht="19.5" hidden="false" customHeight="true" outlineLevel="0" collapsed="false">
      <c r="A17" s="21"/>
      <c r="B17" s="21"/>
      <c r="C17" s="22"/>
      <c r="D17" s="22"/>
      <c r="E17" s="22"/>
      <c r="F17" s="22"/>
      <c r="G17" s="23" t="str">
        <f aca="false">IF(A17="","",C17+D17-E17-F17)</f>
        <v/>
      </c>
      <c r="H17" s="22"/>
      <c r="I17" s="24" t="str">
        <f aca="false">IF(OR(A17="",N(H17)=0),"",ROUND(G17/H17,1))</f>
        <v/>
      </c>
      <c r="J17" s="25" t="str">
        <f aca="false">IF(I17="","",IF(I17&lt;Settings!$B$3,"REORDER",IF(I17&gt;Settings!$B$4,"OVERSTOCK","OK")))</f>
        <v/>
      </c>
      <c r="K17" s="21"/>
    </row>
    <row r="18" customFormat="false" ht="19.5" hidden="false" customHeight="true" outlineLevel="0" collapsed="false">
      <c r="A18" s="21"/>
      <c r="B18" s="21"/>
      <c r="C18" s="22"/>
      <c r="D18" s="22"/>
      <c r="E18" s="22"/>
      <c r="F18" s="22"/>
      <c r="G18" s="23" t="str">
        <f aca="false">IF(A18="","",C18+D18-E18-F18)</f>
        <v/>
      </c>
      <c r="H18" s="22"/>
      <c r="I18" s="24" t="str">
        <f aca="false">IF(OR(A18="",N(H18)=0),"",ROUND(G18/H18,1))</f>
        <v/>
      </c>
      <c r="J18" s="25" t="str">
        <f aca="false">IF(I18="","",IF(I18&lt;Settings!$B$3,"REORDER",IF(I18&gt;Settings!$B$4,"OVERSTOCK","OK")))</f>
        <v/>
      </c>
      <c r="K18" s="21"/>
    </row>
    <row r="19" customFormat="false" ht="19.5" hidden="false" customHeight="true" outlineLevel="0" collapsed="false">
      <c r="A19" s="21"/>
      <c r="B19" s="21"/>
      <c r="C19" s="22"/>
      <c r="D19" s="22"/>
      <c r="E19" s="22"/>
      <c r="F19" s="22"/>
      <c r="G19" s="23" t="str">
        <f aca="false">IF(A19="","",C19+D19-E19-F19)</f>
        <v/>
      </c>
      <c r="H19" s="22"/>
      <c r="I19" s="24" t="str">
        <f aca="false">IF(OR(A19="",N(H19)=0),"",ROUND(G19/H19,1))</f>
        <v/>
      </c>
      <c r="J19" s="25" t="str">
        <f aca="false">IF(I19="","",IF(I19&lt;Settings!$B$3,"REORDER",IF(I19&gt;Settings!$B$4,"OVERSTOCK","OK")))</f>
        <v/>
      </c>
      <c r="K19" s="21"/>
    </row>
    <row r="20" customFormat="false" ht="19.5" hidden="false" customHeight="true" outlineLevel="0" collapsed="false">
      <c r="A20" s="21"/>
      <c r="B20" s="21"/>
      <c r="C20" s="22"/>
      <c r="D20" s="22"/>
      <c r="E20" s="22"/>
      <c r="F20" s="22"/>
      <c r="G20" s="23" t="str">
        <f aca="false">IF(A20="","",C20+D20-E20-F20)</f>
        <v/>
      </c>
      <c r="H20" s="22"/>
      <c r="I20" s="24" t="str">
        <f aca="false">IF(OR(A20="",N(H20)=0),"",ROUND(G20/H20,1))</f>
        <v/>
      </c>
      <c r="J20" s="25" t="str">
        <f aca="false">IF(I20="","",IF(I20&lt;Settings!$B$3,"REORDER",IF(I20&gt;Settings!$B$4,"OVERSTOCK","OK")))</f>
        <v/>
      </c>
      <c r="K20" s="21"/>
    </row>
    <row r="21" customFormat="false" ht="19.5" hidden="false" customHeight="true" outlineLevel="0" collapsed="false">
      <c r="A21" s="21"/>
      <c r="B21" s="21"/>
      <c r="C21" s="22"/>
      <c r="D21" s="22"/>
      <c r="E21" s="22"/>
      <c r="F21" s="22"/>
      <c r="G21" s="23" t="str">
        <f aca="false">IF(A21="","",C21+D21-E21-F21)</f>
        <v/>
      </c>
      <c r="H21" s="22"/>
      <c r="I21" s="24" t="str">
        <f aca="false">IF(OR(A21="",N(H21)=0),"",ROUND(G21/H21,1))</f>
        <v/>
      </c>
      <c r="J21" s="25" t="str">
        <f aca="false">IF(I21="","",IF(I21&lt;Settings!$B$3,"REORDER",IF(I21&gt;Settings!$B$4,"OVERSTOCK","OK")))</f>
        <v/>
      </c>
      <c r="K21" s="21"/>
    </row>
    <row r="22" customFormat="false" ht="19.5" hidden="false" customHeight="true" outlineLevel="0" collapsed="false">
      <c r="A22" s="21"/>
      <c r="B22" s="21"/>
      <c r="C22" s="22"/>
      <c r="D22" s="22"/>
      <c r="E22" s="22"/>
      <c r="F22" s="22"/>
      <c r="G22" s="23" t="str">
        <f aca="false">IF(A22="","",C22+D22-E22-F22)</f>
        <v/>
      </c>
      <c r="H22" s="22"/>
      <c r="I22" s="24" t="str">
        <f aca="false">IF(OR(A22="",N(H22)=0),"",ROUND(G22/H22,1))</f>
        <v/>
      </c>
      <c r="J22" s="25" t="str">
        <f aca="false">IF(I22="","",IF(I22&lt;Settings!$B$3,"REORDER",IF(I22&gt;Settings!$B$4,"OVERSTOCK","OK")))</f>
        <v/>
      </c>
      <c r="K22" s="21"/>
    </row>
    <row r="23" customFormat="false" ht="19.5" hidden="false" customHeight="true" outlineLevel="0" collapsed="false">
      <c r="A23" s="21"/>
      <c r="B23" s="21"/>
      <c r="C23" s="22"/>
      <c r="D23" s="22"/>
      <c r="E23" s="22"/>
      <c r="F23" s="22"/>
      <c r="G23" s="23" t="str">
        <f aca="false">IF(A23="","",C23+D23-E23-F23)</f>
        <v/>
      </c>
      <c r="H23" s="22"/>
      <c r="I23" s="24" t="str">
        <f aca="false">IF(OR(A23="",N(H23)=0),"",ROUND(G23/H23,1))</f>
        <v/>
      </c>
      <c r="J23" s="25" t="str">
        <f aca="false">IF(I23="","",IF(I23&lt;Settings!$B$3,"REORDER",IF(I23&gt;Settings!$B$4,"OVERSTOCK","OK")))</f>
        <v/>
      </c>
      <c r="K23" s="21"/>
    </row>
    <row r="24" customFormat="false" ht="19.5" hidden="false" customHeight="true" outlineLevel="0" collapsed="false">
      <c r="A24" s="21"/>
      <c r="B24" s="21"/>
      <c r="C24" s="22"/>
      <c r="D24" s="22"/>
      <c r="E24" s="22"/>
      <c r="F24" s="22"/>
      <c r="G24" s="23" t="str">
        <f aca="false">IF(A24="","",C24+D24-E24-F24)</f>
        <v/>
      </c>
      <c r="H24" s="22"/>
      <c r="I24" s="24" t="str">
        <f aca="false">IF(OR(A24="",N(H24)=0),"",ROUND(G24/H24,1))</f>
        <v/>
      </c>
      <c r="J24" s="25" t="str">
        <f aca="false">IF(I24="","",IF(I24&lt;Settings!$B$3,"REORDER",IF(I24&gt;Settings!$B$4,"OVERSTOCK","OK")))</f>
        <v/>
      </c>
      <c r="K24" s="21"/>
    </row>
    <row r="25" customFormat="false" ht="19.5" hidden="false" customHeight="true" outlineLevel="0" collapsed="false">
      <c r="A25" s="21"/>
      <c r="B25" s="21"/>
      <c r="C25" s="22"/>
      <c r="D25" s="22"/>
      <c r="E25" s="22"/>
      <c r="F25" s="22"/>
      <c r="G25" s="23" t="str">
        <f aca="false">IF(A25="","",C25+D25-E25-F25)</f>
        <v/>
      </c>
      <c r="H25" s="22"/>
      <c r="I25" s="24" t="str">
        <f aca="false">IF(OR(A25="",N(H25)=0),"",ROUND(G25/H25,1))</f>
        <v/>
      </c>
      <c r="J25" s="25" t="str">
        <f aca="false">IF(I25="","",IF(I25&lt;Settings!$B$3,"REORDER",IF(I25&gt;Settings!$B$4,"OVERSTOCK","OK")))</f>
        <v/>
      </c>
      <c r="K25" s="21"/>
    </row>
    <row r="26" customFormat="false" ht="19.5" hidden="false" customHeight="true" outlineLevel="0" collapsed="false">
      <c r="A26" s="21"/>
      <c r="B26" s="21"/>
      <c r="C26" s="22"/>
      <c r="D26" s="22"/>
      <c r="E26" s="22"/>
      <c r="F26" s="22"/>
      <c r="G26" s="23" t="str">
        <f aca="false">IF(A26="","",C26+D26-E26-F26)</f>
        <v/>
      </c>
      <c r="H26" s="22"/>
      <c r="I26" s="24" t="str">
        <f aca="false">IF(OR(A26="",N(H26)=0),"",ROUND(G26/H26,1))</f>
        <v/>
      </c>
      <c r="J26" s="25" t="str">
        <f aca="false">IF(I26="","",IF(I26&lt;Settings!$B$3,"REORDER",IF(I26&gt;Settings!$B$4,"OVERSTOCK","OK")))</f>
        <v/>
      </c>
      <c r="K26" s="21"/>
    </row>
    <row r="27" customFormat="false" ht="19.5" hidden="false" customHeight="true" outlineLevel="0" collapsed="false">
      <c r="A27" s="21"/>
      <c r="B27" s="21"/>
      <c r="C27" s="22"/>
      <c r="D27" s="22"/>
      <c r="E27" s="22"/>
      <c r="F27" s="22"/>
      <c r="G27" s="23" t="str">
        <f aca="false">IF(A27="","",C27+D27-E27-F27)</f>
        <v/>
      </c>
      <c r="H27" s="22"/>
      <c r="I27" s="24" t="str">
        <f aca="false">IF(OR(A27="",N(H27)=0),"",ROUND(G27/H27,1))</f>
        <v/>
      </c>
      <c r="J27" s="25" t="str">
        <f aca="false">IF(I27="","",IF(I27&lt;Settings!$B$3,"REORDER",IF(I27&gt;Settings!$B$4,"OVERSTOCK","OK")))</f>
        <v/>
      </c>
      <c r="K27" s="21"/>
    </row>
    <row r="28" customFormat="false" ht="19.5" hidden="false" customHeight="true" outlineLevel="0" collapsed="false">
      <c r="A28" s="21"/>
      <c r="B28" s="21"/>
      <c r="C28" s="22"/>
      <c r="D28" s="22"/>
      <c r="E28" s="22"/>
      <c r="F28" s="22"/>
      <c r="G28" s="23" t="str">
        <f aca="false">IF(A28="","",C28+D28-E28-F28)</f>
        <v/>
      </c>
      <c r="H28" s="22"/>
      <c r="I28" s="24" t="str">
        <f aca="false">IF(OR(A28="",N(H28)=0),"",ROUND(G28/H28,1))</f>
        <v/>
      </c>
      <c r="J28" s="25" t="str">
        <f aca="false">IF(I28="","",IF(I28&lt;Settings!$B$3,"REORDER",IF(I28&gt;Settings!$B$4,"OVERSTOCK","OK")))</f>
        <v/>
      </c>
      <c r="K28" s="21"/>
    </row>
    <row r="29" customFormat="false" ht="19.5" hidden="false" customHeight="true" outlineLevel="0" collapsed="false">
      <c r="A29" s="21"/>
      <c r="B29" s="21"/>
      <c r="C29" s="22"/>
      <c r="D29" s="22"/>
      <c r="E29" s="22"/>
      <c r="F29" s="22"/>
      <c r="G29" s="23" t="str">
        <f aca="false">IF(A29="","",C29+D29-E29-F29)</f>
        <v/>
      </c>
      <c r="H29" s="22"/>
      <c r="I29" s="24" t="str">
        <f aca="false">IF(OR(A29="",N(H29)=0),"",ROUND(G29/H29,1))</f>
        <v/>
      </c>
      <c r="J29" s="25" t="str">
        <f aca="false">IF(I29="","",IF(I29&lt;Settings!$B$3,"REORDER",IF(I29&gt;Settings!$B$4,"OVERSTOCK","OK")))</f>
        <v/>
      </c>
      <c r="K29" s="21"/>
    </row>
    <row r="30" customFormat="false" ht="19.5" hidden="false" customHeight="true" outlineLevel="0" collapsed="false">
      <c r="A30" s="21"/>
      <c r="B30" s="21"/>
      <c r="C30" s="22"/>
      <c r="D30" s="22"/>
      <c r="E30" s="22"/>
      <c r="F30" s="22"/>
      <c r="G30" s="23" t="str">
        <f aca="false">IF(A30="","",C30+D30-E30-F30)</f>
        <v/>
      </c>
      <c r="H30" s="22"/>
      <c r="I30" s="24" t="str">
        <f aca="false">IF(OR(A30="",N(H30)=0),"",ROUND(G30/H30,1))</f>
        <v/>
      </c>
      <c r="J30" s="25" t="str">
        <f aca="false">IF(I30="","",IF(I30&lt;Settings!$B$3,"REORDER",IF(I30&gt;Settings!$B$4,"OVERSTOCK","OK")))</f>
        <v/>
      </c>
      <c r="K30" s="21"/>
    </row>
    <row r="31" customFormat="false" ht="19.5" hidden="false" customHeight="true" outlineLevel="0" collapsed="false">
      <c r="A31" s="21"/>
      <c r="B31" s="21"/>
      <c r="C31" s="22"/>
      <c r="D31" s="22"/>
      <c r="E31" s="22"/>
      <c r="F31" s="22"/>
      <c r="G31" s="23" t="str">
        <f aca="false">IF(A31="","",C31+D31-E31-F31)</f>
        <v/>
      </c>
      <c r="H31" s="22"/>
      <c r="I31" s="24" t="str">
        <f aca="false">IF(OR(A31="",N(H31)=0),"",ROUND(G31/H31,1))</f>
        <v/>
      </c>
      <c r="J31" s="25" t="str">
        <f aca="false">IF(I31="","",IF(I31&lt;Settings!$B$3,"REORDER",IF(I31&gt;Settings!$B$4,"OVERSTOCK","OK")))</f>
        <v/>
      </c>
      <c r="K31" s="21"/>
    </row>
    <row r="32" customFormat="false" ht="19.5" hidden="false" customHeight="true" outlineLevel="0" collapsed="false">
      <c r="A32" s="21"/>
      <c r="B32" s="21"/>
      <c r="C32" s="22"/>
      <c r="D32" s="22"/>
      <c r="E32" s="22"/>
      <c r="F32" s="22"/>
      <c r="G32" s="23" t="str">
        <f aca="false">IF(A32="","",C32+D32-E32-F32)</f>
        <v/>
      </c>
      <c r="H32" s="22"/>
      <c r="I32" s="24" t="str">
        <f aca="false">IF(OR(A32="",N(H32)=0),"",ROUND(G32/H32,1))</f>
        <v/>
      </c>
      <c r="J32" s="25" t="str">
        <f aca="false">IF(I32="","",IF(I32&lt;Settings!$B$3,"REORDER",IF(I32&gt;Settings!$B$4,"OVERSTOCK","OK")))</f>
        <v/>
      </c>
      <c r="K32" s="21"/>
    </row>
    <row r="33" customFormat="false" ht="19.5" hidden="false" customHeight="true" outlineLevel="0" collapsed="false">
      <c r="A33" s="21"/>
      <c r="B33" s="21"/>
      <c r="C33" s="22"/>
      <c r="D33" s="22"/>
      <c r="E33" s="22"/>
      <c r="F33" s="22"/>
      <c r="G33" s="23" t="str">
        <f aca="false">IF(A33="","",C33+D33-E33-F33)</f>
        <v/>
      </c>
      <c r="H33" s="22"/>
      <c r="I33" s="24" t="str">
        <f aca="false">IF(OR(A33="",N(H33)=0),"",ROUND(G33/H33,1))</f>
        <v/>
      </c>
      <c r="J33" s="25" t="str">
        <f aca="false">IF(I33="","",IF(I33&lt;Settings!$B$3,"REORDER",IF(I33&gt;Settings!$B$4,"OVERSTOCK","OK")))</f>
        <v/>
      </c>
      <c r="K33" s="21"/>
    </row>
    <row r="34" customFormat="false" ht="19.5" hidden="false" customHeight="true" outlineLevel="0" collapsed="false">
      <c r="A34" s="21"/>
      <c r="B34" s="21"/>
      <c r="C34" s="22"/>
      <c r="D34" s="22"/>
      <c r="E34" s="22"/>
      <c r="F34" s="22"/>
      <c r="G34" s="23" t="str">
        <f aca="false">IF(A34="","",C34+D34-E34-F34)</f>
        <v/>
      </c>
      <c r="H34" s="22"/>
      <c r="I34" s="24" t="str">
        <f aca="false">IF(OR(A34="",N(H34)=0),"",ROUND(G34/H34,1))</f>
        <v/>
      </c>
      <c r="J34" s="25" t="str">
        <f aca="false">IF(I34="","",IF(I34&lt;Settings!$B$3,"REORDER",IF(I34&gt;Settings!$B$4,"OVERSTOCK","OK")))</f>
        <v/>
      </c>
      <c r="K34" s="21"/>
    </row>
    <row r="35" customFormat="false" ht="19.5" hidden="false" customHeight="true" outlineLevel="0" collapsed="false">
      <c r="A35" s="21"/>
      <c r="B35" s="21"/>
      <c r="C35" s="22"/>
      <c r="D35" s="22"/>
      <c r="E35" s="22"/>
      <c r="F35" s="22"/>
      <c r="G35" s="23" t="str">
        <f aca="false">IF(A35="","",C35+D35-E35-F35)</f>
        <v/>
      </c>
      <c r="H35" s="22"/>
      <c r="I35" s="24" t="str">
        <f aca="false">IF(OR(A35="",N(H35)=0),"",ROUND(G35/H35,1))</f>
        <v/>
      </c>
      <c r="J35" s="25" t="str">
        <f aca="false">IF(I35="","",IF(I35&lt;Settings!$B$3,"REORDER",IF(I35&gt;Settings!$B$4,"OVERSTOCK","OK")))</f>
        <v/>
      </c>
      <c r="K35" s="21"/>
    </row>
    <row r="36" customFormat="false" ht="19.5" hidden="false" customHeight="true" outlineLevel="0" collapsed="false">
      <c r="A36" s="21"/>
      <c r="B36" s="21"/>
      <c r="C36" s="22"/>
      <c r="D36" s="22"/>
      <c r="E36" s="22"/>
      <c r="F36" s="22"/>
      <c r="G36" s="23" t="str">
        <f aca="false">IF(A36="","",C36+D36-E36-F36)</f>
        <v/>
      </c>
      <c r="H36" s="22"/>
      <c r="I36" s="24" t="str">
        <f aca="false">IF(OR(A36="",N(H36)=0),"",ROUND(G36/H36,1))</f>
        <v/>
      </c>
      <c r="J36" s="25" t="str">
        <f aca="false">IF(I36="","",IF(I36&lt;Settings!$B$3,"REORDER",IF(I36&gt;Settings!$B$4,"OVERSTOCK","OK")))</f>
        <v/>
      </c>
      <c r="K36" s="21"/>
    </row>
    <row r="37" customFormat="false" ht="19.5" hidden="false" customHeight="true" outlineLevel="0" collapsed="false">
      <c r="A37" s="21"/>
      <c r="B37" s="21"/>
      <c r="C37" s="22"/>
      <c r="D37" s="22"/>
      <c r="E37" s="22"/>
      <c r="F37" s="22"/>
      <c r="G37" s="23" t="str">
        <f aca="false">IF(A37="","",C37+D37-E37-F37)</f>
        <v/>
      </c>
      <c r="H37" s="22"/>
      <c r="I37" s="24" t="str">
        <f aca="false">IF(OR(A37="",N(H37)=0),"",ROUND(G37/H37,1))</f>
        <v/>
      </c>
      <c r="J37" s="25" t="str">
        <f aca="false">IF(I37="","",IF(I37&lt;Settings!$B$3,"REORDER",IF(I37&gt;Settings!$B$4,"OVERSTOCK","OK")))</f>
        <v/>
      </c>
      <c r="K37" s="21"/>
    </row>
    <row r="38" customFormat="false" ht="19.5" hidden="false" customHeight="true" outlineLevel="0" collapsed="false">
      <c r="A38" s="21"/>
      <c r="B38" s="21"/>
      <c r="C38" s="22"/>
      <c r="D38" s="22"/>
      <c r="E38" s="22"/>
      <c r="F38" s="22"/>
      <c r="G38" s="23" t="str">
        <f aca="false">IF(A38="","",C38+D38-E38-F38)</f>
        <v/>
      </c>
      <c r="H38" s="22"/>
      <c r="I38" s="24" t="str">
        <f aca="false">IF(OR(A38="",N(H38)=0),"",ROUND(G38/H38,1))</f>
        <v/>
      </c>
      <c r="J38" s="25" t="str">
        <f aca="false">IF(I38="","",IF(I38&lt;Settings!$B$3,"REORDER",IF(I38&gt;Settings!$B$4,"OVERSTOCK","OK")))</f>
        <v/>
      </c>
      <c r="K38" s="21"/>
    </row>
    <row r="39" customFormat="false" ht="19.5" hidden="false" customHeight="true" outlineLevel="0" collapsed="false">
      <c r="A39" s="21"/>
      <c r="B39" s="21"/>
      <c r="C39" s="22"/>
      <c r="D39" s="22"/>
      <c r="E39" s="22"/>
      <c r="F39" s="22"/>
      <c r="G39" s="23" t="str">
        <f aca="false">IF(A39="","",C39+D39-E39-F39)</f>
        <v/>
      </c>
      <c r="H39" s="22"/>
      <c r="I39" s="24" t="str">
        <f aca="false">IF(OR(A39="",N(H39)=0),"",ROUND(G39/H39,1))</f>
        <v/>
      </c>
      <c r="J39" s="25" t="str">
        <f aca="false">IF(I39="","",IF(I39&lt;Settings!$B$3,"REORDER",IF(I39&gt;Settings!$B$4,"OVERSTOCK","OK")))</f>
        <v/>
      </c>
      <c r="K39" s="21"/>
    </row>
    <row r="40" customFormat="false" ht="19.5" hidden="false" customHeight="true" outlineLevel="0" collapsed="false">
      <c r="A40" s="21"/>
      <c r="B40" s="21"/>
      <c r="C40" s="22"/>
      <c r="D40" s="22"/>
      <c r="E40" s="22"/>
      <c r="F40" s="22"/>
      <c r="G40" s="23" t="str">
        <f aca="false">IF(A40="","",C40+D40-E40-F40)</f>
        <v/>
      </c>
      <c r="H40" s="22"/>
      <c r="I40" s="24" t="str">
        <f aca="false">IF(OR(A40="",N(H40)=0),"",ROUND(G40/H40,1))</f>
        <v/>
      </c>
      <c r="J40" s="25" t="str">
        <f aca="false">IF(I40="","",IF(I40&lt;Settings!$B$3,"REORDER",IF(I40&gt;Settings!$B$4,"OVERSTOCK","OK")))</f>
        <v/>
      </c>
      <c r="K40" s="21"/>
    </row>
    <row r="41" customFormat="false" ht="19.5" hidden="false" customHeight="true" outlineLevel="0" collapsed="false">
      <c r="A41" s="21"/>
      <c r="B41" s="21"/>
      <c r="C41" s="22"/>
      <c r="D41" s="22"/>
      <c r="E41" s="22"/>
      <c r="F41" s="22"/>
      <c r="G41" s="23" t="str">
        <f aca="false">IF(A41="","",C41+D41-E41-F41)</f>
        <v/>
      </c>
      <c r="H41" s="22"/>
      <c r="I41" s="24" t="str">
        <f aca="false">IF(OR(A41="",N(H41)=0),"",ROUND(G41/H41,1))</f>
        <v/>
      </c>
      <c r="J41" s="25" t="str">
        <f aca="false">IF(I41="","",IF(I41&lt;Settings!$B$3,"REORDER",IF(I41&gt;Settings!$B$4,"OVERSTOCK","OK")))</f>
        <v/>
      </c>
      <c r="K41" s="21"/>
    </row>
    <row r="42" customFormat="false" ht="19.5" hidden="false" customHeight="true" outlineLevel="0" collapsed="false">
      <c r="A42" s="21"/>
      <c r="B42" s="21"/>
      <c r="C42" s="22"/>
      <c r="D42" s="22"/>
      <c r="E42" s="22"/>
      <c r="F42" s="22"/>
      <c r="G42" s="23" t="str">
        <f aca="false">IF(A42="","",C42+D42-E42-F42)</f>
        <v/>
      </c>
      <c r="H42" s="22"/>
      <c r="I42" s="24" t="str">
        <f aca="false">IF(OR(A42="",N(H42)=0),"",ROUND(G42/H42,1))</f>
        <v/>
      </c>
      <c r="J42" s="25" t="str">
        <f aca="false">IF(I42="","",IF(I42&lt;Settings!$B$3,"REORDER",IF(I42&gt;Settings!$B$4,"OVERSTOCK","OK")))</f>
        <v/>
      </c>
      <c r="K42" s="21"/>
    </row>
    <row r="43" customFormat="false" ht="19.5" hidden="false" customHeight="true" outlineLevel="0" collapsed="false">
      <c r="A43" s="21"/>
      <c r="B43" s="21"/>
      <c r="C43" s="22"/>
      <c r="D43" s="22"/>
      <c r="E43" s="22"/>
      <c r="F43" s="22"/>
      <c r="G43" s="23" t="str">
        <f aca="false">IF(A43="","",C43+D43-E43-F43)</f>
        <v/>
      </c>
      <c r="H43" s="22"/>
      <c r="I43" s="24" t="str">
        <f aca="false">IF(OR(A43="",N(H43)=0),"",ROUND(G43/H43,1))</f>
        <v/>
      </c>
      <c r="J43" s="25" t="str">
        <f aca="false">IF(I43="","",IF(I43&lt;Settings!$B$3,"REORDER",IF(I43&gt;Settings!$B$4,"OVERSTOCK","OK")))</f>
        <v/>
      </c>
      <c r="K43" s="21"/>
    </row>
    <row r="44" customFormat="false" ht="19.5" hidden="false" customHeight="true" outlineLevel="0" collapsed="false">
      <c r="A44" s="21"/>
      <c r="B44" s="21"/>
      <c r="C44" s="22"/>
      <c r="D44" s="22"/>
      <c r="E44" s="22"/>
      <c r="F44" s="22"/>
      <c r="G44" s="23" t="str">
        <f aca="false">IF(A44="","",C44+D44-E44-F44)</f>
        <v/>
      </c>
      <c r="H44" s="22"/>
      <c r="I44" s="24" t="str">
        <f aca="false">IF(OR(A44="",N(H44)=0),"",ROUND(G44/H44,1))</f>
        <v/>
      </c>
      <c r="J44" s="25" t="str">
        <f aca="false">IF(I44="","",IF(I44&lt;Settings!$B$3,"REORDER",IF(I44&gt;Settings!$B$4,"OVERSTOCK","OK")))</f>
        <v/>
      </c>
      <c r="K44" s="21"/>
    </row>
    <row r="45" customFormat="false" ht="19.5" hidden="false" customHeight="true" outlineLevel="0" collapsed="false">
      <c r="A45" s="21"/>
      <c r="B45" s="21"/>
      <c r="C45" s="22"/>
      <c r="D45" s="22"/>
      <c r="E45" s="22"/>
      <c r="F45" s="22"/>
      <c r="G45" s="23" t="str">
        <f aca="false">IF(A45="","",C45+D45-E45-F45)</f>
        <v/>
      </c>
      <c r="H45" s="22"/>
      <c r="I45" s="24" t="str">
        <f aca="false">IF(OR(A45="",N(H45)=0),"",ROUND(G45/H45,1))</f>
        <v/>
      </c>
      <c r="J45" s="25" t="str">
        <f aca="false">IF(I45="","",IF(I45&lt;Settings!$B$3,"REORDER",IF(I45&gt;Settings!$B$4,"OVERSTOCK","OK")))</f>
        <v/>
      </c>
      <c r="K45" s="21"/>
    </row>
    <row r="46" customFormat="false" ht="19.5" hidden="false" customHeight="true" outlineLevel="0" collapsed="false">
      <c r="A46" s="21"/>
      <c r="B46" s="21"/>
      <c r="C46" s="22"/>
      <c r="D46" s="22"/>
      <c r="E46" s="22"/>
      <c r="F46" s="22"/>
      <c r="G46" s="23" t="str">
        <f aca="false">IF(A46="","",C46+D46-E46-F46)</f>
        <v/>
      </c>
      <c r="H46" s="22"/>
      <c r="I46" s="24" t="str">
        <f aca="false">IF(OR(A46="",N(H46)=0),"",ROUND(G46/H46,1))</f>
        <v/>
      </c>
      <c r="J46" s="25" t="str">
        <f aca="false">IF(I46="","",IF(I46&lt;Settings!$B$3,"REORDER",IF(I46&gt;Settings!$B$4,"OVERSTOCK","OK")))</f>
        <v/>
      </c>
      <c r="K46" s="21"/>
    </row>
    <row r="47" customFormat="false" ht="19.5" hidden="false" customHeight="true" outlineLevel="0" collapsed="false">
      <c r="A47" s="21"/>
      <c r="B47" s="21"/>
      <c r="C47" s="22"/>
      <c r="D47" s="22"/>
      <c r="E47" s="22"/>
      <c r="F47" s="22"/>
      <c r="G47" s="23" t="str">
        <f aca="false">IF(A47="","",C47+D47-E47-F47)</f>
        <v/>
      </c>
      <c r="H47" s="22"/>
      <c r="I47" s="24" t="str">
        <f aca="false">IF(OR(A47="",N(H47)=0),"",ROUND(G47/H47,1))</f>
        <v/>
      </c>
      <c r="J47" s="25" t="str">
        <f aca="false">IF(I47="","",IF(I47&lt;Settings!$B$3,"REORDER",IF(I47&gt;Settings!$B$4,"OVERSTOCK","OK")))</f>
        <v/>
      </c>
      <c r="K47" s="21"/>
    </row>
  </sheetData>
  <autoFilter ref="A4:K47"/>
  <conditionalFormatting sqref="J5:J47">
    <cfRule type="expression" priority="2" aboveAverage="0" equalAverage="0" bottom="0" percent="0" rank="0" text="" dxfId="9">
      <formula>J5="REORDER"</formula>
    </cfRule>
    <cfRule type="expression" priority="3" aboveAverage="0" equalAverage="0" bottom="0" percent="0" rank="0" text="" dxfId="10">
      <formula>J5="OVERSTOCK"</formula>
    </cfRule>
    <cfRule type="expression" priority="4" aboveAverage="0" equalAverage="0" bottom="0" percent="0" rank="0" text="" dxfId="11">
      <formula>J5="OK"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42"/>
  </cols>
  <sheetData>
    <row r="1" customFormat="false" ht="19.7" hidden="false" customHeight="false" outlineLevel="0" collapsed="false">
      <c r="A1" s="14" t="s">
        <v>40</v>
      </c>
    </row>
    <row r="3" customFormat="false" ht="15" hidden="false" customHeight="false" outlineLevel="0" collapsed="false">
      <c r="A3" s="26" t="s">
        <v>41</v>
      </c>
      <c r="B3" s="27" t="n">
        <v>2</v>
      </c>
      <c r="C3" s="15" t="s">
        <v>42</v>
      </c>
    </row>
    <row r="4" customFormat="false" ht="15" hidden="false" customHeight="false" outlineLevel="0" collapsed="false">
      <c r="A4" s="26" t="s">
        <v>43</v>
      </c>
      <c r="B4" s="27" t="n">
        <v>6</v>
      </c>
      <c r="C4" s="15" t="s">
        <v>44</v>
      </c>
    </row>
    <row r="6" customFormat="false" ht="15" hidden="false" customHeight="false" outlineLevel="0" collapsed="false">
      <c r="A6" s="2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2026-10-22T17:54:35Z</dcterms:created>
  <dc:creator>openpyxl</dc:creator>
  <dc:description/>
  <dc:language>en-US</dc:language>
  <cp:lastModifiedBy/>
  <dcterms:modified xsi:type="dcterms:W3CDTF">2026-10-22T17:54:35Z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