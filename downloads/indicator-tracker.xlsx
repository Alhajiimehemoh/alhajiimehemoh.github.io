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w to use" sheetId="1" state="visible" r:id="rId3"/>
    <sheet name="Tracker" sheetId="2" state="visible" r:id="rId4"/>
    <sheet name="Settings" sheetId="3" state="visible" r:id="rId5"/>
  </sheets>
  <definedNames>
    <definedName function="false" hidden="false" localSheetId="1" name="_xlnm.Print_Titles" vbProcedure="false">Tracker!$4:$4</definedName>
    <definedName function="false" hidden="true" localSheetId="1" name="_xlnm._FilterDatabase" vbProcedure="false">Tracker!$A$4:$M$32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<sst xmlns="http://schemas.openxmlformats.org/spreadsheetml/2006/main" count="50" uniqueCount="47">
  <si>
    <t xml:space="preserve">Alhaji Ibrahim Mehemoh  ·  Free resource</t>
  </si>
  <si>
    <t xml:space="preserve">Indicator tracker</t>
  </si>
  <si>
    <t xml:space="preserve">Track quarterly progress against annual targets for count indicators, such as people trained or doses given.</t>
  </si>
  <si>
    <t xml:space="preserve">HOW TO USE</t>
  </si>
  <si>
    <t xml:space="preserve">Step 1</t>
  </si>
  <si>
    <t xml:space="preserve">List each indicator in the Tracker sheet with its unit and annual target.</t>
  </si>
  <si>
    <t xml:space="preserve">Step 2</t>
  </si>
  <si>
    <t xml:space="preserve">Enter each quarter's result as it comes in. Leave future quarters empty.</t>
  </si>
  <si>
    <t xml:space="preserve">Step 3</t>
  </si>
  <si>
    <t xml:space="preserve">Year to date, percent of target and status calculate automatically.</t>
  </si>
  <si>
    <t xml:space="preserve">Step 4</t>
  </si>
  <si>
    <t xml:space="preserve">Adjust the status thresholds in the Settings sheet to match your programme.</t>
  </si>
  <si>
    <t xml:space="preserve">Step 5</t>
  </si>
  <si>
    <t xml:space="preserve">Delete the three amber example rows when you start.</t>
  </si>
  <si>
    <t xml:space="preserve">Step 6</t>
  </si>
  <si>
    <t xml:space="preserve">Use this for counts only. For percentages and rates, report the latest value instead of adding quarters.</t>
  </si>
  <si>
    <t xml:space="preserve">COLOUR KEY</t>
  </si>
  <si>
    <t xml:space="preserve">White cells: type your data here</t>
  </si>
  <si>
    <t xml:space="preserve">Grey cells: formulas, do not type over them</t>
  </si>
  <si>
    <t xml:space="preserve">Amber rows: an example. Delete or overwrite it when you start</t>
  </si>
  <si>
    <t xml:space="preserve">Privacy: do not store patient names, phone numbers or ID numbers in this file.</t>
  </si>
  <si>
    <t xml:space="preserve">Free to use and adapt. Please keep this credit line.  ·  alhajiimehemoh.github.io  ·  Need it tailored? alhajiimehemoh@gmail.com</t>
  </si>
  <si>
    <t xml:space="preserve">Type in white cells. Grey cells calculate automatically. See the How to use sheet.</t>
  </si>
  <si>
    <t xml:space="preserve">Indicator</t>
  </si>
  <si>
    <t xml:space="preserve">Unit</t>
  </si>
  <si>
    <t xml:space="preserve">Baseline</t>
  </si>
  <si>
    <t xml:space="preserve">Annual target</t>
  </si>
  <si>
    <t xml:space="preserve">Q1</t>
  </si>
  <si>
    <t xml:space="preserve">Q2</t>
  </si>
  <si>
    <t xml:space="preserve">Q3</t>
  </si>
  <si>
    <t xml:space="preserve">Q4</t>
  </si>
  <si>
    <t xml:space="preserve">Year to date</t>
  </si>
  <si>
    <t xml:space="preserve">% of annual target</t>
  </si>
  <si>
    <t xml:space="preserve">Expected by now</t>
  </si>
  <si>
    <t xml:space="preserve">Status</t>
  </si>
  <si>
    <t xml:space="preserve">Comment</t>
  </si>
  <si>
    <t xml:space="preserve">Example: Health workers trained in data quality</t>
  </si>
  <si>
    <t xml:space="preserve">people</t>
  </si>
  <si>
    <t xml:space="preserve">Example row</t>
  </si>
  <si>
    <t xml:space="preserve">Example: Supervision visits completed</t>
  </si>
  <si>
    <t xml:space="preserve">visits</t>
  </si>
  <si>
    <t xml:space="preserve">Example: Facilities reporting on time</t>
  </si>
  <si>
    <t xml:space="preserve">reports</t>
  </si>
  <si>
    <t xml:space="preserve">Status thresholds (share of annual target reached so far)</t>
  </si>
  <si>
    <t xml:space="preserve">On track at or above</t>
  </si>
  <si>
    <t xml:space="preserve">Watch at or above</t>
  </si>
  <si>
    <t xml:space="preserve">Expected progress: Q1 25%, Q2 50%, Q3 75%, Q4 100%. Status compares year to date with the share expected by the latest quarter entered.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</si>
</sst>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20"/>
      <color rgb="FF0F2430"/>
      <name val="Arial"/>
      <family val="0"/>
      <charset val="1"/>
    </font>
    <font>
      <sz val="11"/>
      <color rgb="FF475D68"/>
      <name val="Arial"/>
      <family val="0"/>
      <charset val="1"/>
    </font>
    <font>
      <b val="true"/>
      <sz val="9"/>
      <color rgb="FF0B7A5C"/>
      <name val="Arial"/>
      <family val="0"/>
      <charset val="1"/>
    </font>
    <font>
      <b val="true"/>
      <sz val="10"/>
      <color rgb="FF0F2430"/>
      <name val="Arial"/>
      <family val="0"/>
      <charset val="1"/>
    </font>
    <font>
      <sz val="10"/>
      <color rgb="FF0F2430"/>
      <name val="Arial"/>
      <family val="0"/>
      <charset val="1"/>
    </font>
    <font>
      <b val="true"/>
      <sz val="10"/>
      <color rgb="FFD68A00"/>
      <name val="Arial"/>
      <family val="0"/>
      <charset val="1"/>
    </font>
    <font>
      <sz val="9"/>
      <color rgb="FF475D68"/>
      <name val="Arial"/>
      <family val="0"/>
      <charset val="1"/>
    </font>
    <font>
      <b val="true"/>
      <sz val="16"/>
      <color rgb="FF0F2430"/>
      <name val="Arial"/>
      <family val="0"/>
      <charset val="1"/>
    </font>
    <font>
      <b val="true"/>
      <sz val="13"/>
      <color rgb="FF0F243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475D68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B7A5C"/>
        <bgColor rgb="FF008080"/>
      </patternFill>
    </fill>
    <fill>
      <patternFill patternType="solid">
        <fgColor rgb="FFFFFFFF"/>
        <bgColor rgb="FFF3F6F4"/>
      </patternFill>
    </fill>
    <fill>
      <patternFill patternType="solid">
        <fgColor rgb="FFF3F6F4"/>
        <bgColor rgb="FFFFFFFF"/>
      </patternFill>
    </fill>
    <fill>
      <patternFill patternType="solid">
        <fgColor rgb="FFFBEBC8"/>
        <bgColor rgb="FFFDE2E1"/>
      </patternFill>
    </fill>
    <fill>
      <patternFill patternType="solid">
        <fgColor rgb="FF0F2430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ED9"/>
      </left>
      <right style="thin">
        <color rgb="FFD3DED9"/>
      </right>
      <top style="thin">
        <color rgb="FFD3DED9"/>
      </top>
      <bottom style="thin">
        <color rgb="FFD3DE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0B7A5C"/>
          <bgColor rgb="FF000000"/>
        </patternFill>
      </fill>
    </dxf>
    <dxf>
      <fill>
        <patternFill patternType="solid">
          <fgColor rgb="FFFBEBC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F2430"/>
          <bgColor rgb="FF000000"/>
        </patternFill>
      </fill>
    </dxf>
    <dxf>
      <fill>
        <patternFill patternType="solid">
          <fgColor rgb="FFF3F6F4"/>
          <bgColor rgb="FF000000"/>
        </patternFill>
      </fill>
    </dxf>
    <dxf>
      <fill>
        <patternFill patternType="solid">
          <fgColor rgb="FFDDF0E8"/>
          <bgColor rgb="FF000000"/>
        </patternFill>
      </fill>
    </dxf>
    <dxf>
      <fill>
        <patternFill patternType="solid">
          <fgColor rgb="FFFDE2E1"/>
          <bgColor rgb="FF000000"/>
        </patternFill>
      </fill>
    </dxf>
    <dxf>
      <fill>
        <patternFill patternType="solid">
          <fgColor rgb="FF7A4A00"/>
          <bgColor rgb="FF000000"/>
        </patternFill>
      </fill>
    </dxf>
    <dxf>
      <fill>
        <patternFill patternType="solid">
          <fgColor rgb="FFB42318"/>
          <bgColor rgb="FF000000"/>
        </patternFill>
      </fill>
    </dxf>
    <dxf>
      <font>
        <name val="Arial"/>
        <charset val="1"/>
        <family val="0"/>
        <b val="1"/>
        <color rgb="FF0B7A5C"/>
      </font>
      <fill>
        <patternFill>
          <bgColor rgb="FFDDF0E8"/>
        </patternFill>
      </fill>
    </dxf>
    <dxf>
      <font>
        <name val="Arial"/>
        <charset val="1"/>
        <family val="0"/>
        <b val="1"/>
        <color rgb="FF7A4A00"/>
      </font>
      <fill>
        <patternFill>
          <bgColor rgb="FFFBEBC8"/>
        </patternFill>
      </fill>
    </dxf>
    <dxf>
      <font>
        <name val="Arial"/>
        <charset val="1"/>
        <family val="0"/>
        <b val="1"/>
        <color rgb="FFB42318"/>
      </font>
      <fill>
        <patternFill>
          <bgColor rgb="FFFDE2E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4A00"/>
      <rgbColor rgb="FF800080"/>
      <rgbColor rgb="FF0B7A5C"/>
      <rgbColor rgb="FFC0C0C0"/>
      <rgbColor rgb="FF808080"/>
      <rgbColor rgb="FF9999FF"/>
      <rgbColor rgb="FF993366"/>
      <rgbColor rgb="FFFBEBC8"/>
      <rgbColor rgb="FFDDF0E8"/>
      <rgbColor rgb="FF660066"/>
      <rgbColor rgb="FFFF8080"/>
      <rgbColor rgb="FF0066CC"/>
      <rgbColor rgb="FFD3DE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6F4"/>
      <rgbColor rgb="FFCCFFCC"/>
      <rgbColor rgb="FFFFFF99"/>
      <rgbColor rgb="FF99CCFF"/>
      <rgbColor rgb="FFFF99CC"/>
      <rgbColor rgb="FFCC99FF"/>
      <rgbColor rgb="FFFDE2E1"/>
      <rgbColor rgb="FF3366FF"/>
      <rgbColor rgb="FF33CCCC"/>
      <rgbColor rgb="FF99CC00"/>
      <rgbColor rgb="FFFFCC00"/>
      <rgbColor rgb="FFD68A00"/>
      <rgbColor rgb="FFFF6600"/>
      <rgbColor rgb="FF475D68"/>
      <rgbColor rgb="FF969696"/>
      <rgbColor rgb="FF003366"/>
      <rgbColor rgb="FF339966"/>
      <rgbColor rgb="FF0F2430"/>
      <rgbColor rgb="FF333300"/>
      <rgbColor rgb="FFB4231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80"/>
  </cols>
  <sheetData>
    <row r="1" customFormat="false" ht="15" hidden="false" customHeight="false" outlineLevel="0" collapsed="false">
      <c r="A1" s="1"/>
      <c r="B1" s="1"/>
      <c r="C1" s="1"/>
      <c r="D1" s="1"/>
    </row>
    <row r="2" customFormat="false" ht="21.75" hidden="false" customHeight="true" outlineLevel="0" collapsed="false">
      <c r="A2" s="1"/>
      <c r="B2" s="2" t="s">
        <v>0</v>
      </c>
      <c r="C2" s="1"/>
      <c r="D2" s="1"/>
    </row>
    <row r="3" customFormat="false" ht="15" hidden="false" customHeight="false" outlineLevel="0" collapsed="false">
      <c r="A3" s="1"/>
      <c r="B3" s="1"/>
      <c r="C3" s="1"/>
      <c r="D3" s="1"/>
    </row>
    <row r="5" customFormat="false" ht="30" hidden="false" customHeight="true" outlineLevel="0" collapsed="false">
      <c r="B5" s="3" t="s">
        <v>1</v>
      </c>
    </row>
    <row r="6" customFormat="false" ht="33.75" hidden="false" customHeight="true" outlineLevel="0" collapsed="false">
      <c r="B6" s="4" t="s">
        <v>2</v>
      </c>
      <c r="C6" s="4"/>
    </row>
    <row r="8" customFormat="false" ht="15" hidden="false" customHeight="false" outlineLevel="0" collapsed="false">
      <c r="B8" s="5" t="s">
        <v>3</v>
      </c>
    </row>
    <row r="9" customFormat="false" ht="30" hidden="false" customHeight="true" outlineLevel="0" collapsed="false">
      <c r="B9" s="6" t="s">
        <v>4</v>
      </c>
      <c r="C9" s="7" t="s">
        <v>5</v>
      </c>
    </row>
    <row r="10" customFormat="false" ht="30" hidden="false" customHeight="true" outlineLevel="0" collapsed="false">
      <c r="B10" s="6" t="s">
        <v>6</v>
      </c>
      <c r="C10" s="7" t="s">
        <v>7</v>
      </c>
    </row>
    <row r="11" customFormat="false" ht="30" hidden="false" customHeight="true" outlineLevel="0" collapsed="false">
      <c r="B11" s="6" t="s">
        <v>8</v>
      </c>
      <c r="C11" s="7" t="s">
        <v>9</v>
      </c>
    </row>
    <row r="12" customFormat="false" ht="30" hidden="false" customHeight="true" outlineLevel="0" collapsed="false">
      <c r="B12" s="6" t="s">
        <v>10</v>
      </c>
      <c r="C12" s="7" t="s">
        <v>11</v>
      </c>
    </row>
    <row r="13" customFormat="false" ht="30" hidden="false" customHeight="true" outlineLevel="0" collapsed="false">
      <c r="B13" s="6" t="s">
        <v>12</v>
      </c>
      <c r="C13" s="7" t="s">
        <v>13</v>
      </c>
    </row>
    <row r="14" customFormat="false" ht="30" hidden="false" customHeight="true" outlineLevel="0" collapsed="false">
      <c r="B14" s="6" t="s">
        <v>14</v>
      </c>
      <c r="C14" s="7" t="s">
        <v>15</v>
      </c>
    </row>
    <row r="16" customFormat="false" ht="15" hidden="false" customHeight="false" outlineLevel="0" collapsed="false">
      <c r="B16" s="5" t="s">
        <v>16</v>
      </c>
    </row>
    <row r="17" customFormat="false" ht="15" hidden="false" customHeight="false" outlineLevel="0" collapsed="false">
      <c r="B17" s="8"/>
      <c r="C17" s="9" t="s">
        <v>17</v>
      </c>
    </row>
    <row r="18" customFormat="false" ht="15" hidden="false" customHeight="false" outlineLevel="0" collapsed="false">
      <c r="B18" s="10"/>
      <c r="C18" s="9" t="s">
        <v>18</v>
      </c>
    </row>
    <row r="19" customFormat="false" ht="15" hidden="false" customHeight="false" outlineLevel="0" collapsed="false">
      <c r="B19" s="11"/>
      <c r="C19" s="9" t="s">
        <v>19</v>
      </c>
    </row>
    <row r="21" customFormat="false" ht="15" hidden="false" customHeight="false" outlineLevel="0" collapsed="false">
      <c r="B21" s="12" t="s">
        <v>20</v>
      </c>
      <c r="C21" s="12"/>
    </row>
    <row r="23" customFormat="false" ht="15" hidden="false" customHeight="false" outlineLevel="0" collapsed="false">
      <c r="B23" s="13" t="s">
        <v>21</v>
      </c>
      <c r="C23" s="13"/>
    </row>
  </sheetData>
  <mergeCells count="3">
    <mergeCell ref="B6:C6"/>
    <mergeCell ref="B21:C21"/>
    <mergeCell ref="B23:C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0"/>
    <col collapsed="false" customWidth="true" hidden="false" outlineLevel="0" max="4" min="4" style="0" width="12"/>
    <col collapsed="false" customWidth="true" hidden="false" outlineLevel="0" max="8" min="5" style="0" width="8"/>
    <col collapsed="false" customWidth="true" hidden="false" outlineLevel="0" max="11" min="9" style="0" width="12"/>
    <col collapsed="false" customWidth="true" hidden="false" outlineLevel="0" max="12" min="12" style="0" width="11"/>
    <col collapsed="false" customWidth="true" hidden="false" outlineLevel="0" max="13" min="13" style="0" width="26"/>
  </cols>
  <sheetData>
    <row r="1" customFormat="false" ht="25.5" hidden="false" customHeight="true" outlineLevel="0" collapsed="false">
      <c r="A1" s="14" t="s">
        <v>1</v>
      </c>
    </row>
    <row r="2" customFormat="false" ht="15" hidden="false" customHeight="false" outlineLevel="0" collapsed="false">
      <c r="A2" s="15" t="s">
        <v>22</v>
      </c>
    </row>
    <row r="4" customFormat="false" ht="33.75" hidden="false" customHeight="true" outlineLevel="0" collapsed="false">
      <c r="A4" s="16" t="s">
        <v>23</v>
      </c>
      <c r="B4" s="16" t="s">
        <v>24</v>
      </c>
      <c r="C4" s="16" t="s">
        <v>25</v>
      </c>
      <c r="D4" s="16" t="s">
        <v>26</v>
      </c>
      <c r="E4" s="16" t="s">
        <v>27</v>
      </c>
      <c r="F4" s="16" t="s">
        <v>28</v>
      </c>
      <c r="G4" s="16" t="s">
        <v>29</v>
      </c>
      <c r="H4" s="16" t="s">
        <v>30</v>
      </c>
      <c r="I4" s="17" t="s">
        <v>31</v>
      </c>
      <c r="J4" s="17" t="s">
        <v>32</v>
      </c>
      <c r="K4" s="17" t="s">
        <v>33</v>
      </c>
      <c r="L4" s="17" t="s">
        <v>34</v>
      </c>
      <c r="M4" s="16" t="s">
        <v>35</v>
      </c>
    </row>
    <row r="5" customFormat="false" ht="19.5" hidden="false" customHeight="true" outlineLevel="0" collapsed="false">
      <c r="A5" s="18" t="s">
        <v>36</v>
      </c>
      <c r="B5" s="18" t="s">
        <v>37</v>
      </c>
      <c r="C5" s="19" t="n">
        <v>0</v>
      </c>
      <c r="D5" s="19" t="n">
        <v>120</v>
      </c>
      <c r="E5" s="19" t="n">
        <v>30</v>
      </c>
      <c r="F5" s="19" t="n">
        <v>25</v>
      </c>
      <c r="G5" s="19"/>
      <c r="H5" s="19"/>
      <c r="I5" s="19" t="n">
        <f aca="false">IF(A5="","",SUM(E5:H5))</f>
        <v>55</v>
      </c>
      <c r="J5" s="20" t="n">
        <f aca="false">IF(OR(A5="",N(D5)=0),"",I5/D5)</f>
        <v>0.458333333333333</v>
      </c>
      <c r="K5" s="20" t="n">
        <f aca="false">IF(COUNT(E5:H5)=0,"",COUNT(E5:H5)*0.25)</f>
        <v>0.5</v>
      </c>
      <c r="L5" s="18" t="str">
        <f aca="false">IF(OR(J5="",K5=""),"",IF(J5/K5&gt;=Settings!$B$3,"On track",IF(J5/K5&gt;=Settings!$B$4,"Watch","Behind")))</f>
        <v>On track</v>
      </c>
      <c r="M5" s="18" t="s">
        <v>38</v>
      </c>
    </row>
    <row r="6" customFormat="false" ht="19.5" hidden="false" customHeight="true" outlineLevel="0" collapsed="false">
      <c r="A6" s="18" t="s">
        <v>39</v>
      </c>
      <c r="B6" s="18" t="s">
        <v>40</v>
      </c>
      <c r="C6" s="19" t="n">
        <v>0</v>
      </c>
      <c r="D6" s="19" t="n">
        <v>48</v>
      </c>
      <c r="E6" s="19" t="n">
        <v>8</v>
      </c>
      <c r="F6" s="19" t="n">
        <v>9</v>
      </c>
      <c r="G6" s="19"/>
      <c r="H6" s="19"/>
      <c r="I6" s="19" t="n">
        <f aca="false">IF(A6="","",SUM(E6:H6))</f>
        <v>17</v>
      </c>
      <c r="J6" s="20" t="n">
        <f aca="false">IF(OR(A6="",N(D6)=0),"",I6/D6)</f>
        <v>0.354166666666667</v>
      </c>
      <c r="K6" s="20" t="n">
        <f aca="false">IF(COUNT(E6:H6)=0,"",COUNT(E6:H6)*0.25)</f>
        <v>0.5</v>
      </c>
      <c r="L6" s="18" t="str">
        <f aca="false">IF(OR(J6="",K6=""),"",IF(J6/K6&gt;=Settings!$B$3,"On track",IF(J6/K6&gt;=Settings!$B$4,"Watch","Behind")))</f>
        <v>Watch</v>
      </c>
      <c r="M6" s="18" t="s">
        <v>38</v>
      </c>
    </row>
    <row r="7" customFormat="false" ht="19.5" hidden="false" customHeight="true" outlineLevel="0" collapsed="false">
      <c r="A7" s="18" t="s">
        <v>41</v>
      </c>
      <c r="B7" s="18" t="s">
        <v>42</v>
      </c>
      <c r="C7" s="19" t="n">
        <v>0</v>
      </c>
      <c r="D7" s="19" t="n">
        <v>240</v>
      </c>
      <c r="E7" s="19" t="n">
        <v>25</v>
      </c>
      <c r="F7" s="19" t="n">
        <v>20</v>
      </c>
      <c r="G7" s="19"/>
      <c r="H7" s="19"/>
      <c r="I7" s="19" t="n">
        <f aca="false">IF(A7="","",SUM(E7:H7))</f>
        <v>45</v>
      </c>
      <c r="J7" s="20" t="n">
        <f aca="false">IF(OR(A7="",N(D7)=0),"",I7/D7)</f>
        <v>0.1875</v>
      </c>
      <c r="K7" s="20" t="n">
        <f aca="false">IF(COUNT(E7:H7)=0,"",COUNT(E7:H7)*0.25)</f>
        <v>0.5</v>
      </c>
      <c r="L7" s="18" t="str">
        <f aca="false">IF(OR(J7="",K7=""),"",IF(J7/K7&gt;=Settings!$B$3,"On track",IF(J7/K7&gt;=Settings!$B$4,"Watch","Behind")))</f>
        <v>Behind</v>
      </c>
      <c r="M7" s="18" t="s">
        <v>38</v>
      </c>
    </row>
    <row r="8" customFormat="false" ht="19.5" hidden="false" customHeight="true" outlineLevel="0" collapsed="false">
      <c r="A8" s="21"/>
      <c r="B8" s="21"/>
      <c r="C8" s="22"/>
      <c r="D8" s="22"/>
      <c r="E8" s="22"/>
      <c r="F8" s="22"/>
      <c r="G8" s="22"/>
      <c r="H8" s="22"/>
      <c r="I8" s="23" t="str">
        <f aca="false">IF(A8="","",SUM(E8:H8))</f>
        <v/>
      </c>
      <c r="J8" s="24" t="str">
        <f aca="false">IF(OR(A8="",N(D8)=0),"",I8/D8)</f>
        <v/>
      </c>
      <c r="K8" s="24" t="str">
        <f aca="false">IF(COUNT(E8:H8)=0,"",COUNT(E8:H8)*0.25)</f>
        <v/>
      </c>
      <c r="L8" s="25" t="str">
        <f aca="false">IF(OR(J8="",K8=""),"",IF(J8/K8&gt;=Settings!$B$3,"On track",IF(J8/K8&gt;=Settings!$B$4,"Watch","Behind")))</f>
        <v/>
      </c>
      <c r="M8" s="21"/>
    </row>
    <row r="9" customFormat="false" ht="19.5" hidden="false" customHeight="true" outlineLevel="0" collapsed="false">
      <c r="A9" s="21"/>
      <c r="B9" s="21"/>
      <c r="C9" s="22"/>
      <c r="D9" s="22"/>
      <c r="E9" s="22"/>
      <c r="F9" s="22"/>
      <c r="G9" s="22"/>
      <c r="H9" s="22"/>
      <c r="I9" s="23" t="str">
        <f aca="false">IF(A9="","",SUM(E9:H9))</f>
        <v/>
      </c>
      <c r="J9" s="24" t="str">
        <f aca="false">IF(OR(A9="",N(D9)=0),"",I9/D9)</f>
        <v/>
      </c>
      <c r="K9" s="24" t="str">
        <f aca="false">IF(COUNT(E9:H9)=0,"",COUNT(E9:H9)*0.25)</f>
        <v/>
      </c>
      <c r="L9" s="25" t="str">
        <f aca="false">IF(OR(J9="",K9=""),"",IF(J9/K9&gt;=Settings!$B$3,"On track",IF(J9/K9&gt;=Settings!$B$4,"Watch","Behind")))</f>
        <v/>
      </c>
      <c r="M9" s="21"/>
    </row>
    <row r="10" customFormat="false" ht="19.5" hidden="false" customHeight="true" outlineLevel="0" collapsed="false">
      <c r="A10" s="21"/>
      <c r="B10" s="21"/>
      <c r="C10" s="22"/>
      <c r="D10" s="22"/>
      <c r="E10" s="22"/>
      <c r="F10" s="22"/>
      <c r="G10" s="22"/>
      <c r="H10" s="22"/>
      <c r="I10" s="23" t="str">
        <f aca="false">IF(A10="","",SUM(E10:H10))</f>
        <v/>
      </c>
      <c r="J10" s="24" t="str">
        <f aca="false">IF(OR(A10="",N(D10)=0),"",I10/D10)</f>
        <v/>
      </c>
      <c r="K10" s="24" t="str">
        <f aca="false">IF(COUNT(E10:H10)=0,"",COUNT(E10:H10)*0.25)</f>
        <v/>
      </c>
      <c r="L10" s="25" t="str">
        <f aca="false">IF(OR(J10="",K10=""),"",IF(J10/K10&gt;=Settings!$B$3,"On track",IF(J10/K10&gt;=Settings!$B$4,"Watch","Behind")))</f>
        <v/>
      </c>
      <c r="M10" s="21"/>
    </row>
    <row r="11" customFormat="false" ht="19.5" hidden="false" customHeight="true" outlineLevel="0" collapsed="false">
      <c r="A11" s="21"/>
      <c r="B11" s="21"/>
      <c r="C11" s="22"/>
      <c r="D11" s="22"/>
      <c r="E11" s="22"/>
      <c r="F11" s="22"/>
      <c r="G11" s="22"/>
      <c r="H11" s="22"/>
      <c r="I11" s="23" t="str">
        <f aca="false">IF(A11="","",SUM(E11:H11))</f>
        <v/>
      </c>
      <c r="J11" s="24" t="str">
        <f aca="false">IF(OR(A11="",N(D11)=0),"",I11/D11)</f>
        <v/>
      </c>
      <c r="K11" s="24" t="str">
        <f aca="false">IF(COUNT(E11:H11)=0,"",COUNT(E11:H11)*0.25)</f>
        <v/>
      </c>
      <c r="L11" s="25" t="str">
        <f aca="false">IF(OR(J11="",K11=""),"",IF(J11/K11&gt;=Settings!$B$3,"On track",IF(J11/K11&gt;=Settings!$B$4,"Watch","Behind")))</f>
        <v/>
      </c>
      <c r="M11" s="21"/>
    </row>
    <row r="12" customFormat="false" ht="19.5" hidden="false" customHeight="true" outlineLevel="0" collapsed="false">
      <c r="A12" s="21"/>
      <c r="B12" s="21"/>
      <c r="C12" s="22"/>
      <c r="D12" s="22"/>
      <c r="E12" s="22"/>
      <c r="F12" s="22"/>
      <c r="G12" s="22"/>
      <c r="H12" s="22"/>
      <c r="I12" s="23" t="str">
        <f aca="false">IF(A12="","",SUM(E12:H12))</f>
        <v/>
      </c>
      <c r="J12" s="24" t="str">
        <f aca="false">IF(OR(A12="",N(D12)=0),"",I12/D12)</f>
        <v/>
      </c>
      <c r="K12" s="24" t="str">
        <f aca="false">IF(COUNT(E12:H12)=0,"",COUNT(E12:H12)*0.25)</f>
        <v/>
      </c>
      <c r="L12" s="25" t="str">
        <f aca="false">IF(OR(J12="",K12=""),"",IF(J12/K12&gt;=Settings!$B$3,"On track",IF(J12/K12&gt;=Settings!$B$4,"Watch","Behind")))</f>
        <v/>
      </c>
      <c r="M12" s="21"/>
    </row>
    <row r="13" customFormat="false" ht="19.5" hidden="false" customHeight="true" outlineLevel="0" collapsed="false">
      <c r="A13" s="21"/>
      <c r="B13" s="21"/>
      <c r="C13" s="22"/>
      <c r="D13" s="22"/>
      <c r="E13" s="22"/>
      <c r="F13" s="22"/>
      <c r="G13" s="22"/>
      <c r="H13" s="22"/>
      <c r="I13" s="23" t="str">
        <f aca="false">IF(A13="","",SUM(E13:H13))</f>
        <v/>
      </c>
      <c r="J13" s="24" t="str">
        <f aca="false">IF(OR(A13="",N(D13)=0),"",I13/D13)</f>
        <v/>
      </c>
      <c r="K13" s="24" t="str">
        <f aca="false">IF(COUNT(E13:H13)=0,"",COUNT(E13:H13)*0.25)</f>
        <v/>
      </c>
      <c r="L13" s="25" t="str">
        <f aca="false">IF(OR(J13="",K13=""),"",IF(J13/K13&gt;=Settings!$B$3,"On track",IF(J13/K13&gt;=Settings!$B$4,"Watch","Behind")))</f>
        <v/>
      </c>
      <c r="M13" s="21"/>
    </row>
    <row r="14" customFormat="false" ht="19.5" hidden="false" customHeight="true" outlineLevel="0" collapsed="false">
      <c r="A14" s="21"/>
      <c r="B14" s="21"/>
      <c r="C14" s="22"/>
      <c r="D14" s="22"/>
      <c r="E14" s="22"/>
      <c r="F14" s="22"/>
      <c r="G14" s="22"/>
      <c r="H14" s="22"/>
      <c r="I14" s="23" t="str">
        <f aca="false">IF(A14="","",SUM(E14:H14))</f>
        <v/>
      </c>
      <c r="J14" s="24" t="str">
        <f aca="false">IF(OR(A14="",N(D14)=0),"",I14/D14)</f>
        <v/>
      </c>
      <c r="K14" s="24" t="str">
        <f aca="false">IF(COUNT(E14:H14)=0,"",COUNT(E14:H14)*0.25)</f>
        <v/>
      </c>
      <c r="L14" s="25" t="str">
        <f aca="false">IF(OR(J14="",K14=""),"",IF(J14/K14&gt;=Settings!$B$3,"On track",IF(J14/K14&gt;=Settings!$B$4,"Watch","Behind")))</f>
        <v/>
      </c>
      <c r="M14" s="21"/>
    </row>
    <row r="15" customFormat="false" ht="19.5" hidden="false" customHeight="true" outlineLevel="0" collapsed="false">
      <c r="A15" s="21"/>
      <c r="B15" s="21"/>
      <c r="C15" s="22"/>
      <c r="D15" s="22"/>
      <c r="E15" s="22"/>
      <c r="F15" s="22"/>
      <c r="G15" s="22"/>
      <c r="H15" s="22"/>
      <c r="I15" s="23" t="str">
        <f aca="false">IF(A15="","",SUM(E15:H15))</f>
        <v/>
      </c>
      <c r="J15" s="24" t="str">
        <f aca="false">IF(OR(A15="",N(D15)=0),"",I15/D15)</f>
        <v/>
      </c>
      <c r="K15" s="24" t="str">
        <f aca="false">IF(COUNT(E15:H15)=0,"",COUNT(E15:H15)*0.25)</f>
        <v/>
      </c>
      <c r="L15" s="25" t="str">
        <f aca="false">IF(OR(J15="",K15=""),"",IF(J15/K15&gt;=Settings!$B$3,"On track",IF(J15/K15&gt;=Settings!$B$4,"Watch","Behind")))</f>
        <v/>
      </c>
      <c r="M15" s="21"/>
    </row>
    <row r="16" customFormat="false" ht="19.5" hidden="false" customHeight="true" outlineLevel="0" collapsed="false">
      <c r="A16" s="21"/>
      <c r="B16" s="21"/>
      <c r="C16" s="22"/>
      <c r="D16" s="22"/>
      <c r="E16" s="22"/>
      <c r="F16" s="22"/>
      <c r="G16" s="22"/>
      <c r="H16" s="22"/>
      <c r="I16" s="23" t="str">
        <f aca="false">IF(A16="","",SUM(E16:H16))</f>
        <v/>
      </c>
      <c r="J16" s="24" t="str">
        <f aca="false">IF(OR(A16="",N(D16)=0),"",I16/D16)</f>
        <v/>
      </c>
      <c r="K16" s="24" t="str">
        <f aca="false">IF(COUNT(E16:H16)=0,"",COUNT(E16:H16)*0.25)</f>
        <v/>
      </c>
      <c r="L16" s="25" t="str">
        <f aca="false">IF(OR(J16="",K16=""),"",IF(J16/K16&gt;=Settings!$B$3,"On track",IF(J16/K16&gt;=Settings!$B$4,"Watch","Behind")))</f>
        <v/>
      </c>
      <c r="M16" s="21"/>
    </row>
    <row r="17" customFormat="false" ht="19.5" hidden="false" customHeight="true" outlineLevel="0" collapsed="false">
      <c r="A17" s="21"/>
      <c r="B17" s="21"/>
      <c r="C17" s="22"/>
      <c r="D17" s="22"/>
      <c r="E17" s="22"/>
      <c r="F17" s="22"/>
      <c r="G17" s="22"/>
      <c r="H17" s="22"/>
      <c r="I17" s="23" t="str">
        <f aca="false">IF(A17="","",SUM(E17:H17))</f>
        <v/>
      </c>
      <c r="J17" s="24" t="str">
        <f aca="false">IF(OR(A17="",N(D17)=0),"",I17/D17)</f>
        <v/>
      </c>
      <c r="K17" s="24" t="str">
        <f aca="false">IF(COUNT(E17:H17)=0,"",COUNT(E17:H17)*0.25)</f>
        <v/>
      </c>
      <c r="L17" s="25" t="str">
        <f aca="false">IF(OR(J17="",K17=""),"",IF(J17/K17&gt;=Settings!$B$3,"On track",IF(J17/K17&gt;=Settings!$B$4,"Watch","Behind")))</f>
        <v/>
      </c>
      <c r="M17" s="21"/>
    </row>
    <row r="18" customFormat="false" ht="19.5" hidden="false" customHeight="true" outlineLevel="0" collapsed="false">
      <c r="A18" s="21"/>
      <c r="B18" s="21"/>
      <c r="C18" s="22"/>
      <c r="D18" s="22"/>
      <c r="E18" s="22"/>
      <c r="F18" s="22"/>
      <c r="G18" s="22"/>
      <c r="H18" s="22"/>
      <c r="I18" s="23" t="str">
        <f aca="false">IF(A18="","",SUM(E18:H18))</f>
        <v/>
      </c>
      <c r="J18" s="24" t="str">
        <f aca="false">IF(OR(A18="",N(D18)=0),"",I18/D18)</f>
        <v/>
      </c>
      <c r="K18" s="24" t="str">
        <f aca="false">IF(COUNT(E18:H18)=0,"",COUNT(E18:H18)*0.25)</f>
        <v/>
      </c>
      <c r="L18" s="25" t="str">
        <f aca="false">IF(OR(J18="",K18=""),"",IF(J18/K18&gt;=Settings!$B$3,"On track",IF(J18/K18&gt;=Settings!$B$4,"Watch","Behind")))</f>
        <v/>
      </c>
      <c r="M18" s="21"/>
    </row>
    <row r="19" customFormat="false" ht="19.5" hidden="false" customHeight="true" outlineLevel="0" collapsed="false">
      <c r="A19" s="21"/>
      <c r="B19" s="21"/>
      <c r="C19" s="22"/>
      <c r="D19" s="22"/>
      <c r="E19" s="22"/>
      <c r="F19" s="22"/>
      <c r="G19" s="22"/>
      <c r="H19" s="22"/>
      <c r="I19" s="23" t="str">
        <f aca="false">IF(A19="","",SUM(E19:H19))</f>
        <v/>
      </c>
      <c r="J19" s="24" t="str">
        <f aca="false">IF(OR(A19="",N(D19)=0),"",I19/D19)</f>
        <v/>
      </c>
      <c r="K19" s="24" t="str">
        <f aca="false">IF(COUNT(E19:H19)=0,"",COUNT(E19:H19)*0.25)</f>
        <v/>
      </c>
      <c r="L19" s="25" t="str">
        <f aca="false">IF(OR(J19="",K19=""),"",IF(J19/K19&gt;=Settings!$B$3,"On track",IF(J19/K19&gt;=Settings!$B$4,"Watch","Behind")))</f>
        <v/>
      </c>
      <c r="M19" s="21"/>
    </row>
    <row r="20" customFormat="false" ht="19.5" hidden="false" customHeight="true" outlineLevel="0" collapsed="false">
      <c r="A20" s="21"/>
      <c r="B20" s="21"/>
      <c r="C20" s="22"/>
      <c r="D20" s="22"/>
      <c r="E20" s="22"/>
      <c r="F20" s="22"/>
      <c r="G20" s="22"/>
      <c r="H20" s="22"/>
      <c r="I20" s="23" t="str">
        <f aca="false">IF(A20="","",SUM(E20:H20))</f>
        <v/>
      </c>
      <c r="J20" s="24" t="str">
        <f aca="false">IF(OR(A20="",N(D20)=0),"",I20/D20)</f>
        <v/>
      </c>
      <c r="K20" s="24" t="str">
        <f aca="false">IF(COUNT(E20:H20)=0,"",COUNT(E20:H20)*0.25)</f>
        <v/>
      </c>
      <c r="L20" s="25" t="str">
        <f aca="false">IF(OR(J20="",K20=""),"",IF(J20/K20&gt;=Settings!$B$3,"On track",IF(J20/K20&gt;=Settings!$B$4,"Watch","Behind")))</f>
        <v/>
      </c>
      <c r="M20" s="21"/>
    </row>
    <row r="21" customFormat="false" ht="19.5" hidden="false" customHeight="true" outlineLevel="0" collapsed="false">
      <c r="A21" s="21"/>
      <c r="B21" s="21"/>
      <c r="C21" s="22"/>
      <c r="D21" s="22"/>
      <c r="E21" s="22"/>
      <c r="F21" s="22"/>
      <c r="G21" s="22"/>
      <c r="H21" s="22"/>
      <c r="I21" s="23" t="str">
        <f aca="false">IF(A21="","",SUM(E21:H21))</f>
        <v/>
      </c>
      <c r="J21" s="24" t="str">
        <f aca="false">IF(OR(A21="",N(D21)=0),"",I21/D21)</f>
        <v/>
      </c>
      <c r="K21" s="24" t="str">
        <f aca="false">IF(COUNT(E21:H21)=0,"",COUNT(E21:H21)*0.25)</f>
        <v/>
      </c>
      <c r="L21" s="25" t="str">
        <f aca="false">IF(OR(J21="",K21=""),"",IF(J21/K21&gt;=Settings!$B$3,"On track",IF(J21/K21&gt;=Settings!$B$4,"Watch","Behind")))</f>
        <v/>
      </c>
      <c r="M21" s="21"/>
    </row>
    <row r="22" customFormat="false" ht="19.5" hidden="false" customHeight="true" outlineLevel="0" collapsed="false">
      <c r="A22" s="21"/>
      <c r="B22" s="21"/>
      <c r="C22" s="22"/>
      <c r="D22" s="22"/>
      <c r="E22" s="22"/>
      <c r="F22" s="22"/>
      <c r="G22" s="22"/>
      <c r="H22" s="22"/>
      <c r="I22" s="23" t="str">
        <f aca="false">IF(A22="","",SUM(E22:H22))</f>
        <v/>
      </c>
      <c r="J22" s="24" t="str">
        <f aca="false">IF(OR(A22="",N(D22)=0),"",I22/D22)</f>
        <v/>
      </c>
      <c r="K22" s="24" t="str">
        <f aca="false">IF(COUNT(E22:H22)=0,"",COUNT(E22:H22)*0.25)</f>
        <v/>
      </c>
      <c r="L22" s="25" t="str">
        <f aca="false">IF(OR(J22="",K22=""),"",IF(J22/K22&gt;=Settings!$B$3,"On track",IF(J22/K22&gt;=Settings!$B$4,"Watch","Behind")))</f>
        <v/>
      </c>
      <c r="M22" s="21"/>
    </row>
    <row r="23" customFormat="false" ht="19.5" hidden="false" customHeight="true" outlineLevel="0" collapsed="false">
      <c r="A23" s="21"/>
      <c r="B23" s="21"/>
      <c r="C23" s="22"/>
      <c r="D23" s="22"/>
      <c r="E23" s="22"/>
      <c r="F23" s="22"/>
      <c r="G23" s="22"/>
      <c r="H23" s="22"/>
      <c r="I23" s="23" t="str">
        <f aca="false">IF(A23="","",SUM(E23:H23))</f>
        <v/>
      </c>
      <c r="J23" s="24" t="str">
        <f aca="false">IF(OR(A23="",N(D23)=0),"",I23/D23)</f>
        <v/>
      </c>
      <c r="K23" s="24" t="str">
        <f aca="false">IF(COUNT(E23:H23)=0,"",COUNT(E23:H23)*0.25)</f>
        <v/>
      </c>
      <c r="L23" s="25" t="str">
        <f aca="false">IF(OR(J23="",K23=""),"",IF(J23/K23&gt;=Settings!$B$3,"On track",IF(J23/K23&gt;=Settings!$B$4,"Watch","Behind")))</f>
        <v/>
      </c>
      <c r="M23" s="21"/>
    </row>
    <row r="24" customFormat="false" ht="19.5" hidden="false" customHeight="true" outlineLevel="0" collapsed="false">
      <c r="A24" s="21"/>
      <c r="B24" s="21"/>
      <c r="C24" s="22"/>
      <c r="D24" s="22"/>
      <c r="E24" s="22"/>
      <c r="F24" s="22"/>
      <c r="G24" s="22"/>
      <c r="H24" s="22"/>
      <c r="I24" s="23" t="str">
        <f aca="false">IF(A24="","",SUM(E24:H24))</f>
        <v/>
      </c>
      <c r="J24" s="24" t="str">
        <f aca="false">IF(OR(A24="",N(D24)=0),"",I24/D24)</f>
        <v/>
      </c>
      <c r="K24" s="24" t="str">
        <f aca="false">IF(COUNT(E24:H24)=0,"",COUNT(E24:H24)*0.25)</f>
        <v/>
      </c>
      <c r="L24" s="25" t="str">
        <f aca="false">IF(OR(J24="",K24=""),"",IF(J24/K24&gt;=Settings!$B$3,"On track",IF(J24/K24&gt;=Settings!$B$4,"Watch","Behind")))</f>
        <v/>
      </c>
      <c r="M24" s="21"/>
    </row>
    <row r="25" customFormat="false" ht="19.5" hidden="false" customHeight="true" outlineLevel="0" collapsed="false">
      <c r="A25" s="21"/>
      <c r="B25" s="21"/>
      <c r="C25" s="22"/>
      <c r="D25" s="22"/>
      <c r="E25" s="22"/>
      <c r="F25" s="22"/>
      <c r="G25" s="22"/>
      <c r="H25" s="22"/>
      <c r="I25" s="23" t="str">
        <f aca="false">IF(A25="","",SUM(E25:H25))</f>
        <v/>
      </c>
      <c r="J25" s="24" t="str">
        <f aca="false">IF(OR(A25="",N(D25)=0),"",I25/D25)</f>
        <v/>
      </c>
      <c r="K25" s="24" t="str">
        <f aca="false">IF(COUNT(E25:H25)=0,"",COUNT(E25:H25)*0.25)</f>
        <v/>
      </c>
      <c r="L25" s="25" t="str">
        <f aca="false">IF(OR(J25="",K25=""),"",IF(J25/K25&gt;=Settings!$B$3,"On track",IF(J25/K25&gt;=Settings!$B$4,"Watch","Behind")))</f>
        <v/>
      </c>
      <c r="M25" s="21"/>
    </row>
    <row r="26" customFormat="false" ht="19.5" hidden="false" customHeight="true" outlineLevel="0" collapsed="false">
      <c r="A26" s="21"/>
      <c r="B26" s="21"/>
      <c r="C26" s="22"/>
      <c r="D26" s="22"/>
      <c r="E26" s="22"/>
      <c r="F26" s="22"/>
      <c r="G26" s="22"/>
      <c r="H26" s="22"/>
      <c r="I26" s="23" t="str">
        <f aca="false">IF(A26="","",SUM(E26:H26))</f>
        <v/>
      </c>
      <c r="J26" s="24" t="str">
        <f aca="false">IF(OR(A26="",N(D26)=0),"",I26/D26)</f>
        <v/>
      </c>
      <c r="K26" s="24" t="str">
        <f aca="false">IF(COUNT(E26:H26)=0,"",COUNT(E26:H26)*0.25)</f>
        <v/>
      </c>
      <c r="L26" s="25" t="str">
        <f aca="false">IF(OR(J26="",K26=""),"",IF(J26/K26&gt;=Settings!$B$3,"On track",IF(J26/K26&gt;=Settings!$B$4,"Watch","Behind")))</f>
        <v/>
      </c>
      <c r="M26" s="21"/>
    </row>
    <row r="27" customFormat="false" ht="19.5" hidden="false" customHeight="true" outlineLevel="0" collapsed="false">
      <c r="A27" s="21"/>
      <c r="B27" s="21"/>
      <c r="C27" s="22"/>
      <c r="D27" s="22"/>
      <c r="E27" s="22"/>
      <c r="F27" s="22"/>
      <c r="G27" s="22"/>
      <c r="H27" s="22"/>
      <c r="I27" s="23" t="str">
        <f aca="false">IF(A27="","",SUM(E27:H27))</f>
        <v/>
      </c>
      <c r="J27" s="24" t="str">
        <f aca="false">IF(OR(A27="",N(D27)=0),"",I27/D27)</f>
        <v/>
      </c>
      <c r="K27" s="24" t="str">
        <f aca="false">IF(COUNT(E27:H27)=0,"",COUNT(E27:H27)*0.25)</f>
        <v/>
      </c>
      <c r="L27" s="25" t="str">
        <f aca="false">IF(OR(J27="",K27=""),"",IF(J27/K27&gt;=Settings!$B$3,"On track",IF(J27/K27&gt;=Settings!$B$4,"Watch","Behind")))</f>
        <v/>
      </c>
      <c r="M27" s="21"/>
    </row>
    <row r="28" customFormat="false" ht="19.5" hidden="false" customHeight="true" outlineLevel="0" collapsed="false">
      <c r="A28" s="21"/>
      <c r="B28" s="21"/>
      <c r="C28" s="22"/>
      <c r="D28" s="22"/>
      <c r="E28" s="22"/>
      <c r="F28" s="22"/>
      <c r="G28" s="22"/>
      <c r="H28" s="22"/>
      <c r="I28" s="23" t="str">
        <f aca="false">IF(A28="","",SUM(E28:H28))</f>
        <v/>
      </c>
      <c r="J28" s="24" t="str">
        <f aca="false">IF(OR(A28="",N(D28)=0),"",I28/D28)</f>
        <v/>
      </c>
      <c r="K28" s="24" t="str">
        <f aca="false">IF(COUNT(E28:H28)=0,"",COUNT(E28:H28)*0.25)</f>
        <v/>
      </c>
      <c r="L28" s="25" t="str">
        <f aca="false">IF(OR(J28="",K28=""),"",IF(J28/K28&gt;=Settings!$B$3,"On track",IF(J28/K28&gt;=Settings!$B$4,"Watch","Behind")))</f>
        <v/>
      </c>
      <c r="M28" s="21"/>
    </row>
    <row r="29" customFormat="false" ht="19.5" hidden="false" customHeight="true" outlineLevel="0" collapsed="false">
      <c r="A29" s="21"/>
      <c r="B29" s="21"/>
      <c r="C29" s="22"/>
      <c r="D29" s="22"/>
      <c r="E29" s="22"/>
      <c r="F29" s="22"/>
      <c r="G29" s="22"/>
      <c r="H29" s="22"/>
      <c r="I29" s="23" t="str">
        <f aca="false">IF(A29="","",SUM(E29:H29))</f>
        <v/>
      </c>
      <c r="J29" s="24" t="str">
        <f aca="false">IF(OR(A29="",N(D29)=0),"",I29/D29)</f>
        <v/>
      </c>
      <c r="K29" s="24" t="str">
        <f aca="false">IF(COUNT(E29:H29)=0,"",COUNT(E29:H29)*0.25)</f>
        <v/>
      </c>
      <c r="L29" s="25" t="str">
        <f aca="false">IF(OR(J29="",K29=""),"",IF(J29/K29&gt;=Settings!$B$3,"On track",IF(J29/K29&gt;=Settings!$B$4,"Watch","Behind")))</f>
        <v/>
      </c>
      <c r="M29" s="21"/>
    </row>
    <row r="30" customFormat="false" ht="19.5" hidden="false" customHeight="true" outlineLevel="0" collapsed="false">
      <c r="A30" s="21"/>
      <c r="B30" s="21"/>
      <c r="C30" s="22"/>
      <c r="D30" s="22"/>
      <c r="E30" s="22"/>
      <c r="F30" s="22"/>
      <c r="G30" s="22"/>
      <c r="H30" s="22"/>
      <c r="I30" s="23" t="str">
        <f aca="false">IF(A30="","",SUM(E30:H30))</f>
        <v/>
      </c>
      <c r="J30" s="24" t="str">
        <f aca="false">IF(OR(A30="",N(D30)=0),"",I30/D30)</f>
        <v/>
      </c>
      <c r="K30" s="24" t="str">
        <f aca="false">IF(COUNT(E30:H30)=0,"",COUNT(E30:H30)*0.25)</f>
        <v/>
      </c>
      <c r="L30" s="25" t="str">
        <f aca="false">IF(OR(J30="",K30=""),"",IF(J30/K30&gt;=Settings!$B$3,"On track",IF(J30/K30&gt;=Settings!$B$4,"Watch","Behind")))</f>
        <v/>
      </c>
      <c r="M30" s="21"/>
    </row>
    <row r="31" customFormat="false" ht="19.5" hidden="false" customHeight="true" outlineLevel="0" collapsed="false">
      <c r="A31" s="21"/>
      <c r="B31" s="21"/>
      <c r="C31" s="22"/>
      <c r="D31" s="22"/>
      <c r="E31" s="22"/>
      <c r="F31" s="22"/>
      <c r="G31" s="22"/>
      <c r="H31" s="22"/>
      <c r="I31" s="23" t="str">
        <f aca="false">IF(A31="","",SUM(E31:H31))</f>
        <v/>
      </c>
      <c r="J31" s="24" t="str">
        <f aca="false">IF(OR(A31="",N(D31)=0),"",I31/D31)</f>
        <v/>
      </c>
      <c r="K31" s="24" t="str">
        <f aca="false">IF(COUNT(E31:H31)=0,"",COUNT(E31:H31)*0.25)</f>
        <v/>
      </c>
      <c r="L31" s="25" t="str">
        <f aca="false">IF(OR(J31="",K31=""),"",IF(J31/K31&gt;=Settings!$B$3,"On track",IF(J31/K31&gt;=Settings!$B$4,"Watch","Behind")))</f>
        <v/>
      </c>
      <c r="M31" s="21"/>
    </row>
    <row r="32" customFormat="false" ht="19.5" hidden="false" customHeight="true" outlineLevel="0" collapsed="false">
      <c r="A32" s="21"/>
      <c r="B32" s="21"/>
      <c r="C32" s="22"/>
      <c r="D32" s="22"/>
      <c r="E32" s="22"/>
      <c r="F32" s="22"/>
      <c r="G32" s="22"/>
      <c r="H32" s="22"/>
      <c r="I32" s="23" t="str">
        <f aca="false">IF(A32="","",SUM(E32:H32))</f>
        <v/>
      </c>
      <c r="J32" s="24" t="str">
        <f aca="false">IF(OR(A32="",N(D32)=0),"",I32/D32)</f>
        <v/>
      </c>
      <c r="K32" s="24" t="str">
        <f aca="false">IF(COUNT(E32:H32)=0,"",COUNT(E32:H32)*0.25)</f>
        <v/>
      </c>
      <c r="L32" s="25" t="str">
        <f aca="false">IF(OR(J32="",K32=""),"",IF(J32/K32&gt;=Settings!$B$3,"On track",IF(J32/K32&gt;=Settings!$B$4,"Watch","Behind")))</f>
        <v/>
      </c>
      <c r="M32" s="21"/>
    </row>
  </sheetData>
  <autoFilter ref="A4:M32"/>
  <conditionalFormatting sqref="L5:L32">
    <cfRule type="expression" priority="2" aboveAverage="0" equalAverage="0" bottom="0" percent="0" rank="0" text="" dxfId="9">
      <formula>L5="On track"</formula>
    </cfRule>
    <cfRule type="expression" priority="3" aboveAverage="0" equalAverage="0" bottom="0" percent="0" rank="0" text="" dxfId="10">
      <formula>L5="Watch"</formula>
    </cfRule>
    <cfRule type="expression" priority="4" aboveAverage="0" equalAverage="0" bottom="0" percent="0" rank="0" text="" dxfId="11">
      <formula>L5="Behind"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&amp;Lalhajiimehemoh.github.io&amp;RPage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</cols>
  <sheetData>
    <row r="1" customFormat="false" ht="16.15" hidden="false" customHeight="false" outlineLevel="0" collapsed="false">
      <c r="A1" s="26" t="s">
        <v>43</v>
      </c>
    </row>
    <row r="3" customFormat="false" ht="15" hidden="false" customHeight="false" outlineLevel="0" collapsed="false">
      <c r="A3" s="27" t="s">
        <v>44</v>
      </c>
      <c r="B3" s="28" t="n">
        <v>0.9</v>
      </c>
    </row>
    <row r="4" customFormat="false" ht="15" hidden="false" customHeight="false" outlineLevel="0" collapsed="false">
      <c r="A4" s="27" t="s">
        <v>45</v>
      </c>
      <c r="B4" s="28" t="n">
        <v>0.6</v>
      </c>
    </row>
    <row r="6" customFormat="false" ht="15" hidden="false" customHeight="false" outlineLevel="0" collapsed="false">
      <c r="A6" s="29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2026-10-22T17:54:35Z</dcterms:created>
  <dc:creator>openpyxl</dc:creator>
  <dc:description/>
  <dc:language>en-US</dc:language>
  <cp:lastModifiedBy/>
  <dcterms:modified xsi:type="dcterms:W3CDTF">2026-10-22T17:54:35Z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