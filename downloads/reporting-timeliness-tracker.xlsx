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Received" sheetId="2" state="visible" r:id="rId4"/>
    <sheet name="Status" sheetId="3" state="visible" r:id="rId5"/>
    <sheet name="Summary" sheetId="4" state="visible" r:id="rId6"/>
    <sheet name="Settings" sheetId="5" state="visible" r:id="rId7"/>
  </sheets>
  <definedNames>
    <definedName function="false" hidden="false" localSheetId="1" name="_xlnm.Print_Titles" vbProcedure="false">Received!$4:$4</definedName>
    <definedName function="false" hidden="true" localSheetId="1" name="_xlnm._FilterDatabase" vbProcedure="false">Received!$A$4:$M$34</definedName>
    <definedName function="false" hidden="false" localSheetId="2" name="_xlnm.Print_Titles" vbProcedure="false">Status!$4:$4</definedName>
    <definedName function="false" hidden="true" localSheetId="2" name="_xlnm._FilterDatabase" vbProcedure="false">Status!$A$4:$M$34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<sst xmlns="http://schemas.openxmlformats.org/spreadsheetml/2006/main" count="80" uniqueCount="54">
  <si>
    <t xml:space="preserve">Alhaji Ibrahim Mehemoh  ·  Free resource</t>
  </si>
  <si>
    <t xml:space="preserve">Reporting timeliness tracker</t>
  </si>
  <si>
    <t xml:space="preserve">See at a glance which facilities report on time, which are late and which have not reported, month by month.</t>
  </si>
  <si>
    <t xml:space="preserve">HOW TO USE</t>
  </si>
  <si>
    <t xml:space="preserve">Step 1</t>
  </si>
  <si>
    <t xml:space="preserve">Set the year and the monthly deadline day in the Settings sheet.</t>
  </si>
  <si>
    <t xml:space="preserve">Step 2</t>
  </si>
  <si>
    <t xml:space="preserve">List each facility once in column A of the Received sheet.</t>
  </si>
  <si>
    <t xml:space="preserve">Step 3</t>
  </si>
  <si>
    <t xml:space="preserve">When a report arrives, type the date it arrived under that month.</t>
  </si>
  <si>
    <t xml:space="preserve">Step 4</t>
  </si>
  <si>
    <t xml:space="preserve">The Status sheet shows On time, Late or Missing. Missing appears only after the deadline has passed.</t>
  </si>
  <si>
    <t xml:space="preserve">Step 5</t>
  </si>
  <si>
    <t xml:space="preserve">The Summary sheet gives completeness and timeliness rates per month and a chart. Delete the three amber example facilities when you start.</t>
  </si>
  <si>
    <t xml:space="preserve">COLOUR KEY</t>
  </si>
  <si>
    <t xml:space="preserve">White cells: type your data here</t>
  </si>
  <si>
    <t xml:space="preserve">Grey cells: formulas, do not type over them</t>
  </si>
  <si>
    <t xml:space="preserve">Amber rows: an example. Delete or overwrite it when you start</t>
  </si>
  <si>
    <t xml:space="preserve">Privacy: do not store patient names, phone numbers or ID numbers in this file.</t>
  </si>
  <si>
    <t xml:space="preserve">Free to use and adapt. Please keep this credit line.  ·  alhajiimehemoh.github.io  ·  Need it tailored? alhajiimehemoh@gmail.com</t>
  </si>
  <si>
    <t xml:space="preserve">Date each report was received</t>
  </si>
  <si>
    <t xml:space="preserve">Type in white cells. Grey cells calculate automatically. See the How to use sheet.</t>
  </si>
  <si>
    <t xml:space="preserve">Facility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</si>
  <si>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</si>
  <si>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</si>
  <si>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</si>
  <si>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</si>
  <si>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</si>
  <si>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</si>
  <si>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</si>
  <si>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</si>
  <si>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</si>
  <si>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</si>
  <si>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</si>
  <si>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</si>
  <si>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Example: Facility A</t>
  </si>
  <si>
    <t xml:space="preserve">Example: Facility B</t>
  </si>
  <si>
    <t xml:space="preserve">Example: Facility C</t>
  </si>
  <si>
    <t xml:space="preserve">Status by month</t>
  </si>
  <si>
    <t xml:space="preserve">Completeness and timeliness</t>
  </si>
  <si>
    <t xml:space="preserve">Completeness: reports received out of facilities listed. Timeliness: reports on time out of facilities listed. Months not yet due stay blank.</t>
  </si>
  <si>
    <t xml:space="preserve">Month</t>
  </si>
  <si>
    <t xml:space="preserve">Facilities</t>
  </si>
  <si>
    <t xml:space="preserve">Received</t>
  </si>
  <si>
    <t xml:space="preserve">On time</t>
  </si>
  <si>
    <t xml:space="preserve">Late</t>
  </si>
  <si>
    <t xml:space="preserve">Missing</t>
  </si>
  <si>
    <t xml:space="preserve">Completeness</t>
  </si>
  <si>
    <t xml:space="preserve">Timeliness</t>
  </si>
  <si>
    <t xml:space="preserve">Settings</t>
  </si>
  <si>
    <t xml:space="preserve">Reporting year</t>
  </si>
  <si>
    <t xml:space="preserve">The year the reports cover</t>
  </si>
  <si>
    <t xml:space="preserve">Deadline day of the following month</t>
  </si>
  <si>
    <t xml:space="preserve">Example: 5 means the January report is due by 5 February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</si>
</sst>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"/>
    <numFmt numFmtId="166" formatCode="General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20"/>
      <color rgb="FF0F2430"/>
      <name val="Arial"/>
      <family val="0"/>
      <charset val="1"/>
    </font>
    <font>
      <sz val="11"/>
      <color rgb="FF475D68"/>
      <name val="Arial"/>
      <family val="0"/>
      <charset val="1"/>
    </font>
    <font>
      <b val="true"/>
      <sz val="9"/>
      <color rgb="FF0B7A5C"/>
      <name val="Arial"/>
      <family val="0"/>
      <charset val="1"/>
    </font>
    <font>
      <b val="true"/>
      <sz val="10"/>
      <color rgb="FF0F2430"/>
      <name val="Arial"/>
      <family val="0"/>
      <charset val="1"/>
    </font>
    <font>
      <sz val="10"/>
      <color rgb="FF0F2430"/>
      <name val="Arial"/>
      <family val="0"/>
      <charset val="1"/>
    </font>
    <font>
      <b val="true"/>
      <sz val="10"/>
      <color rgb="FFD68A00"/>
      <name val="Arial"/>
      <family val="0"/>
      <charset val="1"/>
    </font>
    <font>
      <sz val="9"/>
      <color rgb="FF475D68"/>
      <name val="Arial"/>
      <family val="0"/>
      <charset val="1"/>
    </font>
    <font>
      <b val="true"/>
      <sz val="16"/>
      <color rgb="FF0F2430"/>
      <name val="Arial"/>
      <family val="0"/>
      <charset val="1"/>
    </font>
    <font>
      <i val="true"/>
      <sz val="9"/>
      <color rgb="FF475D6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7A5C"/>
        <bgColor rgb="FF008080"/>
      </patternFill>
    </fill>
    <fill>
      <patternFill patternType="solid">
        <fgColor rgb="FFFFFFFF"/>
        <bgColor rgb="FFF3F6F4"/>
      </patternFill>
    </fill>
    <fill>
      <patternFill patternType="solid">
        <fgColor rgb="FFF3F6F4"/>
        <bgColor rgb="FFFFFFFF"/>
      </patternFill>
    </fill>
    <fill>
      <patternFill patternType="solid">
        <fgColor rgb="FFFBEBC8"/>
        <bgColor rgb="FFFDE2E1"/>
      </patternFill>
    </fill>
    <fill>
      <patternFill patternType="solid">
        <fgColor rgb="FF0F243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ED9"/>
      </left>
      <right style="thin">
        <color rgb="FFD3DED9"/>
      </right>
      <top style="thin">
        <color rgb="FFD3DED9"/>
      </top>
      <bottom style="thin">
        <color rgb="FFD3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B7A5C"/>
          <bgColor rgb="FF000000"/>
        </patternFill>
      </fill>
    </dxf>
    <dxf>
      <fill>
        <patternFill patternType="solid">
          <fgColor rgb="FFFBEBC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2430"/>
          <bgColor rgb="FF000000"/>
        </patternFill>
      </fill>
    </dxf>
    <dxf>
      <fill>
        <patternFill patternType="solid">
          <fgColor rgb="FFF3F6F4"/>
          <bgColor rgb="FF000000"/>
        </patternFill>
      </fill>
    </dxf>
    <dxf>
      <fill>
        <patternFill patternType="solid">
          <fgColor rgb="FFDDF0E8"/>
          <bgColor rgb="FF000000"/>
        </patternFill>
      </fill>
    </dxf>
    <dxf>
      <fill>
        <patternFill patternType="solid">
          <fgColor rgb="FF7A4A00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7A4A00"/>
      </font>
      <fill>
        <patternFill>
          <bgColor rgb="FFFBEBC8"/>
        </patternFill>
      </fill>
    </dxf>
    <dxf>
      <font>
        <name val="Arial"/>
        <charset val="1"/>
        <family val="0"/>
        <b val="1"/>
        <color rgb="FF0B7A5C"/>
      </font>
      <fill>
        <patternFill>
          <bgColor rgb="FFDDF0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A00"/>
      <rgbColor rgb="FF800080"/>
      <rgbColor rgb="FF0B7A5C"/>
      <rgbColor rgb="FFC0C0C0"/>
      <rgbColor rgb="FF878787"/>
      <rgbColor rgb="FF9999FF"/>
      <rgbColor rgb="FF993366"/>
      <rgbColor rgb="FFFBEBC8"/>
      <rgbColor rgb="FFDDF0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4"/>
      <rgbColor rgb="FFD3DED9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D68A00"/>
      <rgbColor rgb="FFFF6600"/>
      <rgbColor rgb="FF475D68"/>
      <rgbColor rgb="FF969696"/>
      <rgbColor rgb="FF003366"/>
      <rgbColor rgb="FF339966"/>
      <rgbColor rgb="FF0F243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Completeness and timeliness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Summary!G4</c:f>
              <c:strCache>
                <c:ptCount val="1"/>
                <c:pt idx="0">
                  <c:v>Completeness</c:v>
                </c:pt>
              </c:strCache>
            </c:strRef>
          </c:tx>
          <c:spPr>
            <a:solidFill>
              <a:srgbClr val="0b7a5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Summary!$G$5:$G$16</c:f>
              <c:numCache>
                <c:formatCode>0%</c:formatCode>
                <c:ptCount val="12"/>
                <c:pt idx="0">
                  <c:v>1</c:v>
                </c:pt>
                <c:pt idx="1">
                  <c:v>0.666666666666667</c:v>
                </c:pt>
                <c:pt idx="2">
                  <c:v>1</c:v>
                </c:pt>
                <c:pt idx="3">
                  <c:v>1</c:v>
                </c:pt>
                <c:pt idx="4">
                  <c:v>0.666666666666667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0.666666666666667</c:v>
                </c:pt>
              </c:numCache>
            </c:numRef>
          </c:val>
        </c:ser>
        <c:ser>
          <c:idx val="1"/>
          <c:order val="1"/>
          <c:tx>
            <c:strRef>
              <c:f>Summary!H4</c:f>
              <c:strCache>
                <c:ptCount val="1"/>
                <c:pt idx="0">
                  <c:v>Timeliness</c:v>
                </c:pt>
              </c:strCache>
            </c:strRef>
          </c:tx>
          <c:spPr>
            <a:solidFill>
              <a:srgbClr val="d68a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Summary!$H$5:$H$16</c:f>
              <c:numCache>
                <c:formatCode>0%</c:formatCode>
                <c:ptCount val="12"/>
                <c:pt idx="0">
                  <c:v>0.666666666666667</c:v>
                </c:pt>
                <c:pt idx="1">
                  <c:v>0.666666666666667</c:v>
                </c:pt>
                <c:pt idx="2">
                  <c:v>0.666666666666667</c:v>
                </c:pt>
                <c:pt idx="3">
                  <c:v>1</c:v>
                </c:pt>
                <c:pt idx="4">
                  <c:v>0.333333333333333</c:v>
                </c:pt>
                <c:pt idx="5">
                  <c:v>1</c:v>
                </c:pt>
                <c:pt idx="6">
                  <c:v>0.666666666666667</c:v>
                </c:pt>
                <c:pt idx="7">
                  <c:v>0.666666666666667</c:v>
                </c:pt>
                <c:pt idx="8">
                  <c:v>0.666666666666667</c:v>
                </c:pt>
              </c:numCache>
            </c:numRef>
          </c:val>
        </c:ser>
        <c:gapWidth val="150"/>
        <c:overlap val="0"/>
        <c:axId val="74259734"/>
        <c:axId val="13542916"/>
      </c:barChart>
      <c:catAx>
        <c:axId val="742597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42916"/>
        <c:crosses val="autoZero"/>
        <c:auto val="1"/>
        <c:lblAlgn val="ctr"/>
        <c:lblOffset val="100"/>
        <c:noMultiLvlLbl val="0"/>
      </c:catAx>
      <c:valAx>
        <c:axId val="1354291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facilities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597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364680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667332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1.75" hidden="false" customHeight="tru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5" customFormat="false" ht="30" hidden="false" customHeight="true" outlineLevel="0" collapsed="false">
      <c r="B5" s="3" t="s">
        <v>1</v>
      </c>
    </row>
    <row r="6" customFormat="false" ht="33.75" hidden="false" customHeight="true" outlineLevel="0" collapsed="false">
      <c r="B6" s="4" t="s">
        <v>2</v>
      </c>
      <c r="C6" s="4"/>
    </row>
    <row r="8" customFormat="false" ht="15" hidden="false" customHeight="false" outlineLevel="0" collapsed="false">
      <c r="B8" s="5" t="s">
        <v>3</v>
      </c>
    </row>
    <row r="9" customFormat="false" ht="30" hidden="false" customHeight="true" outlineLevel="0" collapsed="false">
      <c r="B9" s="6" t="s">
        <v>4</v>
      </c>
      <c r="C9" s="7" t="s">
        <v>5</v>
      </c>
    </row>
    <row r="10" customFormat="false" ht="30" hidden="false" customHeight="true" outlineLevel="0" collapsed="false">
      <c r="B10" s="6" t="s">
        <v>6</v>
      </c>
      <c r="C10" s="7" t="s">
        <v>7</v>
      </c>
    </row>
    <row r="11" customFormat="false" ht="30" hidden="false" customHeight="true" outlineLevel="0" collapsed="false">
      <c r="B11" s="6" t="s">
        <v>8</v>
      </c>
      <c r="C11" s="7" t="s">
        <v>9</v>
      </c>
    </row>
    <row r="12" customFormat="false" ht="30" hidden="false" customHeight="true" outlineLevel="0" collapsed="false">
      <c r="B12" s="6" t="s">
        <v>10</v>
      </c>
      <c r="C12" s="7" t="s">
        <v>11</v>
      </c>
    </row>
    <row r="13" customFormat="false" ht="30" hidden="false" customHeight="true" outlineLevel="0" collapsed="false">
      <c r="B13" s="6" t="s">
        <v>12</v>
      </c>
      <c r="C13" s="7" t="s">
        <v>13</v>
      </c>
    </row>
    <row r="15" customFormat="false" ht="15" hidden="false" customHeight="false" outlineLevel="0" collapsed="false">
      <c r="B15" s="5" t="s">
        <v>14</v>
      </c>
    </row>
    <row r="16" customFormat="false" ht="15" hidden="false" customHeight="false" outlineLevel="0" collapsed="false">
      <c r="B16" s="8"/>
      <c r="C16" s="9" t="s">
        <v>15</v>
      </c>
    </row>
    <row r="17" customFormat="false" ht="15" hidden="false" customHeight="false" outlineLevel="0" collapsed="false">
      <c r="B17" s="10"/>
      <c r="C17" s="9" t="s">
        <v>16</v>
      </c>
    </row>
    <row r="18" customFormat="false" ht="15" hidden="false" customHeight="false" outlineLevel="0" collapsed="false">
      <c r="B18" s="11"/>
      <c r="C18" s="9" t="s">
        <v>17</v>
      </c>
    </row>
    <row r="20" customFormat="false" ht="15" hidden="false" customHeight="false" outlineLevel="0" collapsed="false">
      <c r="B20" s="12" t="s">
        <v>18</v>
      </c>
      <c r="C20" s="12"/>
    </row>
    <row r="22" customFormat="false" ht="15" hidden="false" customHeight="false" outlineLevel="0" collapsed="false">
      <c r="B22" s="13" t="s">
        <v>19</v>
      </c>
      <c r="C22" s="13"/>
    </row>
  </sheetData>
  <mergeCells count="3">
    <mergeCell ref="B6:C6"/>
    <mergeCell ref="B20:C20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1"/>
  </cols>
  <sheetData>
    <row r="1" customFormat="false" ht="25.5" hidden="false" customHeight="true" outlineLevel="0" collapsed="false">
      <c r="A1" s="14" t="s">
        <v>20</v>
      </c>
    </row>
    <row r="2" customFormat="false" ht="15" hidden="false" customHeight="false" outlineLevel="0" collapsed="false">
      <c r="A2" s="15" t="s">
        <v>21</v>
      </c>
    </row>
    <row r="4" customFormat="false" ht="33.75" hidden="false" customHeight="true" outlineLevel="0" collapsed="false">
      <c r="A4" s="16" t="s">
        <v>22</v>
      </c>
      <c r="B4" s="16" t="s">
        <v>23</v>
      </c>
      <c r="C4" s="16" t="s">
        <v>24</v>
      </c>
      <c r="D4" s="16" t="s">
        <v>25</v>
      </c>
      <c r="E4" s="16" t="s">
        <v>26</v>
      </c>
      <c r="F4" s="16" t="s">
        <v>27</v>
      </c>
      <c r="G4" s="16" t="s">
        <v>28</v>
      </c>
      <c r="H4" s="16" t="s">
        <v>29</v>
      </c>
      <c r="I4" s="16" t="s">
        <v>30</v>
      </c>
      <c r="J4" s="16" t="s">
        <v>31</v>
      </c>
      <c r="K4" s="16" t="s">
        <v>32</v>
      </c>
      <c r="L4" s="16" t="s">
        <v>33</v>
      </c>
      <c r="M4" s="16" t="s">
        <v>34</v>
      </c>
    </row>
    <row r="5" customFormat="false" ht="19.5" hidden="false" customHeight="true" outlineLevel="0" collapsed="false">
      <c r="A5" s="17" t="s">
        <v>35</v>
      </c>
      <c r="B5" s="18" t="n">
        <v>46056</v>
      </c>
      <c r="C5" s="18" t="n">
        <v>46085</v>
      </c>
      <c r="D5" s="18" t="n">
        <v>46114</v>
      </c>
      <c r="E5" s="18" t="n">
        <v>46147</v>
      </c>
      <c r="F5" s="18" t="n">
        <v>46176</v>
      </c>
      <c r="G5" s="18" t="n">
        <v>46207</v>
      </c>
      <c r="H5" s="18" t="n">
        <v>46236</v>
      </c>
      <c r="I5" s="18" t="n">
        <v>46268</v>
      </c>
      <c r="J5" s="18" t="n">
        <v>46299</v>
      </c>
      <c r="K5" s="18"/>
      <c r="L5" s="18"/>
      <c r="M5" s="18"/>
    </row>
    <row r="6" customFormat="false" ht="19.5" hidden="false" customHeight="true" outlineLevel="0" collapsed="false">
      <c r="A6" s="17" t="s">
        <v>36</v>
      </c>
      <c r="B6" s="18" t="n">
        <v>46059</v>
      </c>
      <c r="C6" s="18" t="n">
        <v>46085</v>
      </c>
      <c r="D6" s="18" t="n">
        <v>46121</v>
      </c>
      <c r="E6" s="18" t="n">
        <v>46147</v>
      </c>
      <c r="F6" s="18" t="n">
        <v>46185</v>
      </c>
      <c r="G6" s="18" t="n">
        <v>46207</v>
      </c>
      <c r="H6" s="18" t="n">
        <v>46239</v>
      </c>
      <c r="I6" s="18" t="n">
        <v>46272</v>
      </c>
      <c r="J6" s="18" t="n">
        <v>46300</v>
      </c>
      <c r="K6" s="18"/>
      <c r="L6" s="18"/>
      <c r="M6" s="18"/>
    </row>
    <row r="7" customFormat="false" ht="19.5" hidden="false" customHeight="true" outlineLevel="0" collapsed="false">
      <c r="A7" s="17" t="s">
        <v>37</v>
      </c>
      <c r="B7" s="18" t="n">
        <v>46057</v>
      </c>
      <c r="C7" s="18"/>
      <c r="D7" s="18" t="n">
        <v>46117</v>
      </c>
      <c r="E7" s="18" t="n">
        <v>46145</v>
      </c>
      <c r="F7" s="18"/>
      <c r="G7" s="18" t="n">
        <v>46208</v>
      </c>
      <c r="H7" s="18" t="n">
        <v>46240</v>
      </c>
      <c r="I7" s="18" t="n">
        <v>46269</v>
      </c>
      <c r="J7" s="18"/>
      <c r="K7" s="18"/>
      <c r="L7" s="18"/>
      <c r="M7" s="18"/>
    </row>
    <row r="8" customFormat="false" ht="19.5" hidden="false" customHeight="true" outlineLevel="0" collapsed="false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customFormat="false" ht="19.5" hidden="false" customHeight="true" outlineLevel="0" collapsed="false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customFormat="false" ht="19.5" hidden="false" customHeight="true" outlineLevel="0" collapsed="false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customFormat="false" ht="19.5" hidden="false" customHeight="true" outlineLevel="0" collapsed="false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customFormat="false" ht="19.5" hidden="false" customHeight="true" outlineLevel="0" collapsed="false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customFormat="false" ht="19.5" hidden="false" customHeight="true" outlineLevel="0" collapsed="false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customFormat="false" ht="19.5" hidden="false" customHeight="true" outlineLevel="0" collapsed="false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customFormat="false" ht="19.5" hidden="false" customHeight="true" outlineLevel="0" collapsed="false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customFormat="false" ht="19.5" hidden="false" customHeight="true" outlineLevel="0" collapsed="false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customFormat="false" ht="19.5" hidden="false" customHeight="true" outlineLevel="0" collapsed="false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customFormat="false" ht="19.5" hidden="false" customHeight="true" outlineLevel="0" collapsed="false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customFormat="false" ht="19.5" hidden="false" customHeight="true" outlineLevel="0" collapsed="false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customFormat="false" ht="19.5" hidden="false" customHeight="true" outlineLevel="0" collapsed="false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customFormat="false" ht="19.5" hidden="false" customHeight="true" outlineLevel="0" collapsed="false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customFormat="false" ht="19.5" hidden="false" customHeight="true" outlineLevel="0" collapsed="false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customFormat="false" ht="19.5" hidden="false" customHeight="true" outlineLevel="0" collapsed="false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customFormat="false" ht="19.5" hidden="false" customHeight="true" outlineLevel="0" collapsed="false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customFormat="false" ht="19.5" hidden="false" customHeight="true" outlineLevel="0" collapsed="false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customFormat="false" ht="19.5" hidden="false" customHeight="true" outlineLevel="0" collapsed="false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customFormat="false" ht="19.5" hidden="false" customHeight="true" outlineLevel="0" collapsed="false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customFormat="false" ht="19.5" hidden="false" customHeight="true" outlineLevel="0" collapsed="false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customFormat="false" ht="19.5" hidden="false" customHeight="true" outlineLevel="0" collapsed="false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customFormat="false" ht="19.5" hidden="false" customHeight="true" outlineLevel="0" collapsed="false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customFormat="false" ht="19.5" hidden="false" customHeight="true" outlineLevel="0" collapsed="false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customFormat="false" ht="19.5" hidden="false" customHeight="true" outlineLevel="0" collapsed="false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customFormat="false" ht="19.5" hidden="false" customHeight="true" outlineLevel="0" collapsed="false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customFormat="false" ht="19.5" hidden="false" customHeight="true" outlineLevel="0" collapsed="false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</sheetData>
  <autoFilter ref="A4:M34"/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&amp;Lalhajiimehemoh.github.io&amp;RPage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0"/>
  </cols>
  <sheetData>
    <row r="1" customFormat="false" ht="25.5" hidden="false" customHeight="true" outlineLevel="0" collapsed="false">
      <c r="A1" s="14" t="s">
        <v>38</v>
      </c>
    </row>
    <row r="2" customFormat="false" ht="15" hidden="false" customHeight="false" outlineLevel="0" collapsed="false">
      <c r="A2" s="15" t="s">
        <v>21</v>
      </c>
    </row>
    <row r="4" customFormat="false" ht="33.75" hidden="false" customHeight="true" outlineLevel="0" collapsed="false">
      <c r="A4" s="21" t="s">
        <v>22</v>
      </c>
      <c r="B4" s="21" t="s">
        <v>23</v>
      </c>
      <c r="C4" s="21" t="s">
        <v>24</v>
      </c>
      <c r="D4" s="21" t="s">
        <v>25</v>
      </c>
      <c r="E4" s="21" t="s">
        <v>26</v>
      </c>
      <c r="F4" s="21" t="s">
        <v>27</v>
      </c>
      <c r="G4" s="21" t="s">
        <v>28</v>
      </c>
      <c r="H4" s="21" t="s">
        <v>29</v>
      </c>
      <c r="I4" s="21" t="s">
        <v>30</v>
      </c>
      <c r="J4" s="21" t="s">
        <v>31</v>
      </c>
      <c r="K4" s="21" t="s">
        <v>32</v>
      </c>
      <c r="L4" s="21" t="s">
        <v>33</v>
      </c>
      <c r="M4" s="21" t="s">
        <v>34</v>
      </c>
    </row>
    <row r="5" customFormat="false" ht="19.5" hidden="false" customHeight="true" outlineLevel="0" collapsed="false">
      <c r="A5" s="22" t="str">
        <f aca="false">IF(Received!A5="","",Received!A5)</f>
        <v>Example: Facility A</v>
      </c>
      <c r="B5" s="22" t="str">
        <f aca="true">IF(Received!$A5="","",IF(Received!B5="",IF(TODAY()&gt;DATE(Settings!$B$3,2,Settings!$B$4),"Missing",""),IF(Received!B5&lt;=DATE(Settings!$B$3,2,Settings!$B$4),"On time","Late")))</f>
        <v>On time</v>
      </c>
      <c r="C5" s="22" t="str">
        <f aca="true">IF(Received!$A5="","",IF(Received!C5="",IF(TODAY()&gt;DATE(Settings!$B$3,3,Settings!$B$4),"Missing",""),IF(Received!C5&lt;=DATE(Settings!$B$3,3,Settings!$B$4),"On time","Late")))</f>
        <v>On time</v>
      </c>
      <c r="D5" s="22" t="str">
        <f aca="true">IF(Received!$A5="","",IF(Received!D5="",IF(TODAY()&gt;DATE(Settings!$B$3,4,Settings!$B$4),"Missing",""),IF(Received!D5&lt;=DATE(Settings!$B$3,4,Settings!$B$4),"On time","Late")))</f>
        <v>On time</v>
      </c>
      <c r="E5" s="22" t="str">
        <f aca="true">IF(Received!$A5="","",IF(Received!E5="",IF(TODAY()&gt;DATE(Settings!$B$3,5,Settings!$B$4),"Missing",""),IF(Received!E5&lt;=DATE(Settings!$B$3,5,Settings!$B$4),"On time","Late")))</f>
        <v>On time</v>
      </c>
      <c r="F5" s="22" t="str">
        <f aca="true">IF(Received!$A5="","",IF(Received!F5="",IF(TODAY()&gt;DATE(Settings!$B$3,6,Settings!$B$4),"Missing",""),IF(Received!F5&lt;=DATE(Settings!$B$3,6,Settings!$B$4),"On time","Late")))</f>
        <v>On time</v>
      </c>
      <c r="G5" s="22" t="str">
        <f aca="true">IF(Received!$A5="","",IF(Received!G5="",IF(TODAY()&gt;DATE(Settings!$B$3,7,Settings!$B$4),"Missing",""),IF(Received!G5&lt;=DATE(Settings!$B$3,7,Settings!$B$4),"On time","Late")))</f>
        <v>On time</v>
      </c>
      <c r="H5" s="22" t="str">
        <f aca="true">IF(Received!$A5="","",IF(Received!H5="",IF(TODAY()&gt;DATE(Settings!$B$3,8,Settings!$B$4),"Missing",""),IF(Received!H5&lt;=DATE(Settings!$B$3,8,Settings!$B$4),"On time","Late")))</f>
        <v>On time</v>
      </c>
      <c r="I5" s="22" t="str">
        <f aca="true">IF(Received!$A5="","",IF(Received!I5="",IF(TODAY()&gt;DATE(Settings!$B$3,9,Settings!$B$4),"Missing",""),IF(Received!I5&lt;=DATE(Settings!$B$3,9,Settings!$B$4),"On time","Late")))</f>
        <v>On time</v>
      </c>
      <c r="J5" s="22" t="str">
        <f aca="true">IF(Received!$A5="","",IF(Received!J5="",IF(TODAY()&gt;DATE(Settings!$B$3,10,Settings!$B$4),"Missing",""),IF(Received!J5&lt;=DATE(Settings!$B$3,10,Settings!$B$4),"On time","Late")))</f>
        <v>On time</v>
      </c>
      <c r="K5" s="22" t="str">
        <f aca="true">IF(Received!$A5="","",IF(Received!K5="",IF(TODAY()&gt;DATE(Settings!$B$3,11,Settings!$B$4),"Missing",""),IF(Received!K5&lt;=DATE(Settings!$B$3,11,Settings!$B$4),"On time","Late")))</f>
        <v/>
      </c>
      <c r="L5" s="22" t="str">
        <f aca="true">IF(Received!$A5="","",IF(Received!L5="",IF(TODAY()&gt;DATE(Settings!$B$3,12,Settings!$B$4),"Missing",""),IF(Received!L5&lt;=DATE(Settings!$B$3,12,Settings!$B$4),"On time","Late")))</f>
        <v/>
      </c>
      <c r="M5" s="22" t="str">
        <f aca="true">IF(Received!$A5="","",IF(Received!M5="",IF(TODAY()&gt;DATE(Settings!$B$3,13,Settings!$B$4),"Missing",""),IF(Received!M5&lt;=DATE(Settings!$B$3,13,Settings!$B$4),"On time","Late")))</f>
        <v/>
      </c>
    </row>
    <row r="6" customFormat="false" ht="19.5" hidden="false" customHeight="true" outlineLevel="0" collapsed="false">
      <c r="A6" s="22" t="str">
        <f aca="false">IF(Received!A6="","",Received!A6)</f>
        <v>Example: Facility B</v>
      </c>
      <c r="B6" s="22" t="str">
        <f aca="true">IF(Received!$A6="","",IF(Received!B6="",IF(TODAY()&gt;DATE(Settings!$B$3,2,Settings!$B$4),"Missing",""),IF(Received!B6&lt;=DATE(Settings!$B$3,2,Settings!$B$4),"On time","Late")))</f>
        <v>Late</v>
      </c>
      <c r="C6" s="22" t="str">
        <f aca="true">IF(Received!$A6="","",IF(Received!C6="",IF(TODAY()&gt;DATE(Settings!$B$3,3,Settings!$B$4),"Missing",""),IF(Received!C6&lt;=DATE(Settings!$B$3,3,Settings!$B$4),"On time","Late")))</f>
        <v>On time</v>
      </c>
      <c r="D6" s="22" t="str">
        <f aca="true">IF(Received!$A6="","",IF(Received!D6="",IF(TODAY()&gt;DATE(Settings!$B$3,4,Settings!$B$4),"Missing",""),IF(Received!D6&lt;=DATE(Settings!$B$3,4,Settings!$B$4),"On time","Late")))</f>
        <v>Late</v>
      </c>
      <c r="E6" s="22" t="str">
        <f aca="true">IF(Received!$A6="","",IF(Received!E6="",IF(TODAY()&gt;DATE(Settings!$B$3,5,Settings!$B$4),"Missing",""),IF(Received!E6&lt;=DATE(Settings!$B$3,5,Settings!$B$4),"On time","Late")))</f>
        <v>On time</v>
      </c>
      <c r="F6" s="22" t="str">
        <f aca="true">IF(Received!$A6="","",IF(Received!F6="",IF(TODAY()&gt;DATE(Settings!$B$3,6,Settings!$B$4),"Missing",""),IF(Received!F6&lt;=DATE(Settings!$B$3,6,Settings!$B$4),"On time","Late")))</f>
        <v>Late</v>
      </c>
      <c r="G6" s="22" t="str">
        <f aca="true">IF(Received!$A6="","",IF(Received!G6="",IF(TODAY()&gt;DATE(Settings!$B$3,7,Settings!$B$4),"Missing",""),IF(Received!G6&lt;=DATE(Settings!$B$3,7,Settings!$B$4),"On time","Late")))</f>
        <v>On time</v>
      </c>
      <c r="H6" s="22" t="str">
        <f aca="true">IF(Received!$A6="","",IF(Received!H6="",IF(TODAY()&gt;DATE(Settings!$B$3,8,Settings!$B$4),"Missing",""),IF(Received!H6&lt;=DATE(Settings!$B$3,8,Settings!$B$4),"On time","Late")))</f>
        <v>On time</v>
      </c>
      <c r="I6" s="22" t="str">
        <f aca="true">IF(Received!$A6="","",IF(Received!I6="",IF(TODAY()&gt;DATE(Settings!$B$3,9,Settings!$B$4),"Missing",""),IF(Received!I6&lt;=DATE(Settings!$B$3,9,Settings!$B$4),"On time","Late")))</f>
        <v>Late</v>
      </c>
      <c r="J6" s="22" t="str">
        <f aca="true">IF(Received!$A6="","",IF(Received!J6="",IF(TODAY()&gt;DATE(Settings!$B$3,10,Settings!$B$4),"Missing",""),IF(Received!J6&lt;=DATE(Settings!$B$3,10,Settings!$B$4),"On time","Late")))</f>
        <v>On time</v>
      </c>
      <c r="K6" s="22" t="str">
        <f aca="true">IF(Received!$A6="","",IF(Received!K6="",IF(TODAY()&gt;DATE(Settings!$B$3,11,Settings!$B$4),"Missing",""),IF(Received!K6&lt;=DATE(Settings!$B$3,11,Settings!$B$4),"On time","Late")))</f>
        <v/>
      </c>
      <c r="L6" s="22" t="str">
        <f aca="true">IF(Received!$A6="","",IF(Received!L6="",IF(TODAY()&gt;DATE(Settings!$B$3,12,Settings!$B$4),"Missing",""),IF(Received!L6&lt;=DATE(Settings!$B$3,12,Settings!$B$4),"On time","Late")))</f>
        <v/>
      </c>
      <c r="M6" s="22" t="str">
        <f aca="true">IF(Received!$A6="","",IF(Received!M6="",IF(TODAY()&gt;DATE(Settings!$B$3,13,Settings!$B$4),"Missing",""),IF(Received!M6&lt;=DATE(Settings!$B$3,13,Settings!$B$4),"On time","Late")))</f>
        <v/>
      </c>
    </row>
    <row r="7" customFormat="false" ht="19.5" hidden="false" customHeight="true" outlineLevel="0" collapsed="false">
      <c r="A7" s="22" t="str">
        <f aca="false">IF(Received!A7="","",Received!A7)</f>
        <v>Example: Facility C</v>
      </c>
      <c r="B7" s="22" t="str">
        <f aca="true">IF(Received!$A7="","",IF(Received!B7="",IF(TODAY()&gt;DATE(Settings!$B$3,2,Settings!$B$4),"Missing",""),IF(Received!B7&lt;=DATE(Settings!$B$3,2,Settings!$B$4),"On time","Late")))</f>
        <v>On time</v>
      </c>
      <c r="C7" s="22" t="str">
        <f aca="true">IF(Received!$A7="","",IF(Received!C7="",IF(TODAY()&gt;DATE(Settings!$B$3,3,Settings!$B$4),"Missing",""),IF(Received!C7&lt;=DATE(Settings!$B$3,3,Settings!$B$4),"On time","Late")))</f>
        <v>Missing</v>
      </c>
      <c r="D7" s="22" t="str">
        <f aca="true">IF(Received!$A7="","",IF(Received!D7="",IF(TODAY()&gt;DATE(Settings!$B$3,4,Settings!$B$4),"Missing",""),IF(Received!D7&lt;=DATE(Settings!$B$3,4,Settings!$B$4),"On time","Late")))</f>
        <v>On time</v>
      </c>
      <c r="E7" s="22" t="str">
        <f aca="true">IF(Received!$A7="","",IF(Received!E7="",IF(TODAY()&gt;DATE(Settings!$B$3,5,Settings!$B$4),"Missing",""),IF(Received!E7&lt;=DATE(Settings!$B$3,5,Settings!$B$4),"On time","Late")))</f>
        <v>On time</v>
      </c>
      <c r="F7" s="22" t="str">
        <f aca="true">IF(Received!$A7="","",IF(Received!F7="",IF(TODAY()&gt;DATE(Settings!$B$3,6,Settings!$B$4),"Missing",""),IF(Received!F7&lt;=DATE(Settings!$B$3,6,Settings!$B$4),"On time","Late")))</f>
        <v>Missing</v>
      </c>
      <c r="G7" s="22" t="str">
        <f aca="true">IF(Received!$A7="","",IF(Received!G7="",IF(TODAY()&gt;DATE(Settings!$B$3,7,Settings!$B$4),"Missing",""),IF(Received!G7&lt;=DATE(Settings!$B$3,7,Settings!$B$4),"On time","Late")))</f>
        <v>On time</v>
      </c>
      <c r="H7" s="22" t="str">
        <f aca="true">IF(Received!$A7="","",IF(Received!H7="",IF(TODAY()&gt;DATE(Settings!$B$3,8,Settings!$B$4),"Missing",""),IF(Received!H7&lt;=DATE(Settings!$B$3,8,Settings!$B$4),"On time","Late")))</f>
        <v>Late</v>
      </c>
      <c r="I7" s="22" t="str">
        <f aca="true">IF(Received!$A7="","",IF(Received!I7="",IF(TODAY()&gt;DATE(Settings!$B$3,9,Settings!$B$4),"Missing",""),IF(Received!I7&lt;=DATE(Settings!$B$3,9,Settings!$B$4),"On time","Late")))</f>
        <v>On time</v>
      </c>
      <c r="J7" s="22" t="str">
        <f aca="true">IF(Received!$A7="","",IF(Received!J7="",IF(TODAY()&gt;DATE(Settings!$B$3,10,Settings!$B$4),"Missing",""),IF(Received!J7&lt;=DATE(Settings!$B$3,10,Settings!$B$4),"On time","Late")))</f>
        <v>Missing</v>
      </c>
      <c r="K7" s="22" t="str">
        <f aca="true">IF(Received!$A7="","",IF(Received!K7="",IF(TODAY()&gt;DATE(Settings!$B$3,11,Settings!$B$4),"Missing",""),IF(Received!K7&lt;=DATE(Settings!$B$3,11,Settings!$B$4),"On time","Late")))</f>
        <v/>
      </c>
      <c r="L7" s="22" t="str">
        <f aca="true">IF(Received!$A7="","",IF(Received!L7="",IF(TODAY()&gt;DATE(Settings!$B$3,12,Settings!$B$4),"Missing",""),IF(Received!L7&lt;=DATE(Settings!$B$3,12,Settings!$B$4),"On time","Late")))</f>
        <v/>
      </c>
      <c r="M7" s="22" t="str">
        <f aca="true">IF(Received!$A7="","",IF(Received!M7="",IF(TODAY()&gt;DATE(Settings!$B$3,13,Settings!$B$4),"Missing",""),IF(Received!M7&lt;=DATE(Settings!$B$3,13,Settings!$B$4),"On time","Late")))</f>
        <v/>
      </c>
    </row>
    <row r="8" customFormat="false" ht="19.5" hidden="false" customHeight="true" outlineLevel="0" collapsed="false">
      <c r="A8" s="22" t="str">
        <f aca="false">IF(Received!A8="","",Received!A8)</f>
        <v/>
      </c>
      <c r="B8" s="22" t="str">
        <f aca="true">IF(Received!$A8="","",IF(Received!B8="",IF(TODAY()&gt;DATE(Settings!$B$3,2,Settings!$B$4),"Missing",""),IF(Received!B8&lt;=DATE(Settings!$B$3,2,Settings!$B$4),"On time","Late")))</f>
        <v/>
      </c>
      <c r="C8" s="22" t="str">
        <f aca="true">IF(Received!$A8="","",IF(Received!C8="",IF(TODAY()&gt;DATE(Settings!$B$3,3,Settings!$B$4),"Missing",""),IF(Received!C8&lt;=DATE(Settings!$B$3,3,Settings!$B$4),"On time","Late")))</f>
        <v/>
      </c>
      <c r="D8" s="22" t="str">
        <f aca="true">IF(Received!$A8="","",IF(Received!D8="",IF(TODAY()&gt;DATE(Settings!$B$3,4,Settings!$B$4),"Missing",""),IF(Received!D8&lt;=DATE(Settings!$B$3,4,Settings!$B$4),"On time","Late")))</f>
        <v/>
      </c>
      <c r="E8" s="22" t="str">
        <f aca="true">IF(Received!$A8="","",IF(Received!E8="",IF(TODAY()&gt;DATE(Settings!$B$3,5,Settings!$B$4),"Missing",""),IF(Received!E8&lt;=DATE(Settings!$B$3,5,Settings!$B$4),"On time","Late")))</f>
        <v/>
      </c>
      <c r="F8" s="22" t="str">
        <f aca="true">IF(Received!$A8="","",IF(Received!F8="",IF(TODAY()&gt;DATE(Settings!$B$3,6,Settings!$B$4),"Missing",""),IF(Received!F8&lt;=DATE(Settings!$B$3,6,Settings!$B$4),"On time","Late")))</f>
        <v/>
      </c>
      <c r="G8" s="22" t="str">
        <f aca="true">IF(Received!$A8="","",IF(Received!G8="",IF(TODAY()&gt;DATE(Settings!$B$3,7,Settings!$B$4),"Missing",""),IF(Received!G8&lt;=DATE(Settings!$B$3,7,Settings!$B$4),"On time","Late")))</f>
        <v/>
      </c>
      <c r="H8" s="22" t="str">
        <f aca="true">IF(Received!$A8="","",IF(Received!H8="",IF(TODAY()&gt;DATE(Settings!$B$3,8,Settings!$B$4),"Missing",""),IF(Received!H8&lt;=DATE(Settings!$B$3,8,Settings!$B$4),"On time","Late")))</f>
        <v/>
      </c>
      <c r="I8" s="22" t="str">
        <f aca="true">IF(Received!$A8="","",IF(Received!I8="",IF(TODAY()&gt;DATE(Settings!$B$3,9,Settings!$B$4),"Missing",""),IF(Received!I8&lt;=DATE(Settings!$B$3,9,Settings!$B$4),"On time","Late")))</f>
        <v/>
      </c>
      <c r="J8" s="22" t="str">
        <f aca="true">IF(Received!$A8="","",IF(Received!J8="",IF(TODAY()&gt;DATE(Settings!$B$3,10,Settings!$B$4),"Missing",""),IF(Received!J8&lt;=DATE(Settings!$B$3,10,Settings!$B$4),"On time","Late")))</f>
        <v/>
      </c>
      <c r="K8" s="22" t="str">
        <f aca="true">IF(Received!$A8="","",IF(Received!K8="",IF(TODAY()&gt;DATE(Settings!$B$3,11,Settings!$B$4),"Missing",""),IF(Received!K8&lt;=DATE(Settings!$B$3,11,Settings!$B$4),"On time","Late")))</f>
        <v/>
      </c>
      <c r="L8" s="22" t="str">
        <f aca="true">IF(Received!$A8="","",IF(Received!L8="",IF(TODAY()&gt;DATE(Settings!$B$3,12,Settings!$B$4),"Missing",""),IF(Received!L8&lt;=DATE(Settings!$B$3,12,Settings!$B$4),"On time","Late")))</f>
        <v/>
      </c>
      <c r="M8" s="22" t="str">
        <f aca="true">IF(Received!$A8="","",IF(Received!M8="",IF(TODAY()&gt;DATE(Settings!$B$3,13,Settings!$B$4),"Missing",""),IF(Received!M8&lt;=DATE(Settings!$B$3,13,Settings!$B$4),"On time","Late")))</f>
        <v/>
      </c>
    </row>
    <row r="9" customFormat="false" ht="19.5" hidden="false" customHeight="true" outlineLevel="0" collapsed="false">
      <c r="A9" s="22" t="str">
        <f aca="false">IF(Received!A9="","",Received!A9)</f>
        <v/>
      </c>
      <c r="B9" s="22" t="str">
        <f aca="true">IF(Received!$A9="","",IF(Received!B9="",IF(TODAY()&gt;DATE(Settings!$B$3,2,Settings!$B$4),"Missing",""),IF(Received!B9&lt;=DATE(Settings!$B$3,2,Settings!$B$4),"On time","Late")))</f>
        <v/>
      </c>
      <c r="C9" s="22" t="str">
        <f aca="true">IF(Received!$A9="","",IF(Received!C9="",IF(TODAY()&gt;DATE(Settings!$B$3,3,Settings!$B$4),"Missing",""),IF(Received!C9&lt;=DATE(Settings!$B$3,3,Settings!$B$4),"On time","Late")))</f>
        <v/>
      </c>
      <c r="D9" s="22" t="str">
        <f aca="true">IF(Received!$A9="","",IF(Received!D9="",IF(TODAY()&gt;DATE(Settings!$B$3,4,Settings!$B$4),"Missing",""),IF(Received!D9&lt;=DATE(Settings!$B$3,4,Settings!$B$4),"On time","Late")))</f>
        <v/>
      </c>
      <c r="E9" s="22" t="str">
        <f aca="true">IF(Received!$A9="","",IF(Received!E9="",IF(TODAY()&gt;DATE(Settings!$B$3,5,Settings!$B$4),"Missing",""),IF(Received!E9&lt;=DATE(Settings!$B$3,5,Settings!$B$4),"On time","Late")))</f>
        <v/>
      </c>
      <c r="F9" s="22" t="str">
        <f aca="true">IF(Received!$A9="","",IF(Received!F9="",IF(TODAY()&gt;DATE(Settings!$B$3,6,Settings!$B$4),"Missing",""),IF(Received!F9&lt;=DATE(Settings!$B$3,6,Settings!$B$4),"On time","Late")))</f>
        <v/>
      </c>
      <c r="G9" s="22" t="str">
        <f aca="true">IF(Received!$A9="","",IF(Received!G9="",IF(TODAY()&gt;DATE(Settings!$B$3,7,Settings!$B$4),"Missing",""),IF(Received!G9&lt;=DATE(Settings!$B$3,7,Settings!$B$4),"On time","Late")))</f>
        <v/>
      </c>
      <c r="H9" s="22" t="str">
        <f aca="true">IF(Received!$A9="","",IF(Received!H9="",IF(TODAY()&gt;DATE(Settings!$B$3,8,Settings!$B$4),"Missing",""),IF(Received!H9&lt;=DATE(Settings!$B$3,8,Settings!$B$4),"On time","Late")))</f>
        <v/>
      </c>
      <c r="I9" s="22" t="str">
        <f aca="true">IF(Received!$A9="","",IF(Received!I9="",IF(TODAY()&gt;DATE(Settings!$B$3,9,Settings!$B$4),"Missing",""),IF(Received!I9&lt;=DATE(Settings!$B$3,9,Settings!$B$4),"On time","Late")))</f>
        <v/>
      </c>
      <c r="J9" s="22" t="str">
        <f aca="true">IF(Received!$A9="","",IF(Received!J9="",IF(TODAY()&gt;DATE(Settings!$B$3,10,Settings!$B$4),"Missing",""),IF(Received!J9&lt;=DATE(Settings!$B$3,10,Settings!$B$4),"On time","Late")))</f>
        <v/>
      </c>
      <c r="K9" s="22" t="str">
        <f aca="true">IF(Received!$A9="","",IF(Received!K9="",IF(TODAY()&gt;DATE(Settings!$B$3,11,Settings!$B$4),"Missing",""),IF(Received!K9&lt;=DATE(Settings!$B$3,11,Settings!$B$4),"On time","Late")))</f>
        <v/>
      </c>
      <c r="L9" s="22" t="str">
        <f aca="true">IF(Received!$A9="","",IF(Received!L9="",IF(TODAY()&gt;DATE(Settings!$B$3,12,Settings!$B$4),"Missing",""),IF(Received!L9&lt;=DATE(Settings!$B$3,12,Settings!$B$4),"On time","Late")))</f>
        <v/>
      </c>
      <c r="M9" s="22" t="str">
        <f aca="true">IF(Received!$A9="","",IF(Received!M9="",IF(TODAY()&gt;DATE(Settings!$B$3,13,Settings!$B$4),"Missing",""),IF(Received!M9&lt;=DATE(Settings!$B$3,13,Settings!$B$4),"On time","Late")))</f>
        <v/>
      </c>
    </row>
    <row r="10" customFormat="false" ht="19.5" hidden="false" customHeight="true" outlineLevel="0" collapsed="false">
      <c r="A10" s="22" t="str">
        <f aca="false">IF(Received!A10="","",Received!A10)</f>
        <v/>
      </c>
      <c r="B10" s="22" t="str">
        <f aca="true">IF(Received!$A10="","",IF(Received!B10="",IF(TODAY()&gt;DATE(Settings!$B$3,2,Settings!$B$4),"Missing",""),IF(Received!B10&lt;=DATE(Settings!$B$3,2,Settings!$B$4),"On time","Late")))</f>
        <v/>
      </c>
      <c r="C10" s="22" t="str">
        <f aca="true">IF(Received!$A10="","",IF(Received!C10="",IF(TODAY()&gt;DATE(Settings!$B$3,3,Settings!$B$4),"Missing",""),IF(Received!C10&lt;=DATE(Settings!$B$3,3,Settings!$B$4),"On time","Late")))</f>
        <v/>
      </c>
      <c r="D10" s="22" t="str">
        <f aca="true">IF(Received!$A10="","",IF(Received!D10="",IF(TODAY()&gt;DATE(Settings!$B$3,4,Settings!$B$4),"Missing",""),IF(Received!D10&lt;=DATE(Settings!$B$3,4,Settings!$B$4),"On time","Late")))</f>
        <v/>
      </c>
      <c r="E10" s="22" t="str">
        <f aca="true">IF(Received!$A10="","",IF(Received!E10="",IF(TODAY()&gt;DATE(Settings!$B$3,5,Settings!$B$4),"Missing",""),IF(Received!E10&lt;=DATE(Settings!$B$3,5,Settings!$B$4),"On time","Late")))</f>
        <v/>
      </c>
      <c r="F10" s="22" t="str">
        <f aca="true">IF(Received!$A10="","",IF(Received!F10="",IF(TODAY()&gt;DATE(Settings!$B$3,6,Settings!$B$4),"Missing",""),IF(Received!F10&lt;=DATE(Settings!$B$3,6,Settings!$B$4),"On time","Late")))</f>
        <v/>
      </c>
      <c r="G10" s="22" t="str">
        <f aca="true">IF(Received!$A10="","",IF(Received!G10="",IF(TODAY()&gt;DATE(Settings!$B$3,7,Settings!$B$4),"Missing",""),IF(Received!G10&lt;=DATE(Settings!$B$3,7,Settings!$B$4),"On time","Late")))</f>
        <v/>
      </c>
      <c r="H10" s="22" t="str">
        <f aca="true">IF(Received!$A10="","",IF(Received!H10="",IF(TODAY()&gt;DATE(Settings!$B$3,8,Settings!$B$4),"Missing",""),IF(Received!H10&lt;=DATE(Settings!$B$3,8,Settings!$B$4),"On time","Late")))</f>
        <v/>
      </c>
      <c r="I10" s="22" t="str">
        <f aca="true">IF(Received!$A10="","",IF(Received!I10="",IF(TODAY()&gt;DATE(Settings!$B$3,9,Settings!$B$4),"Missing",""),IF(Received!I10&lt;=DATE(Settings!$B$3,9,Settings!$B$4),"On time","Late")))</f>
        <v/>
      </c>
      <c r="J10" s="22" t="str">
        <f aca="true">IF(Received!$A10="","",IF(Received!J10="",IF(TODAY()&gt;DATE(Settings!$B$3,10,Settings!$B$4),"Missing",""),IF(Received!J10&lt;=DATE(Settings!$B$3,10,Settings!$B$4),"On time","Late")))</f>
        <v/>
      </c>
      <c r="K10" s="22" t="str">
        <f aca="true">IF(Received!$A10="","",IF(Received!K10="",IF(TODAY()&gt;DATE(Settings!$B$3,11,Settings!$B$4),"Missing",""),IF(Received!K10&lt;=DATE(Settings!$B$3,11,Settings!$B$4),"On time","Late")))</f>
        <v/>
      </c>
      <c r="L10" s="22" t="str">
        <f aca="true">IF(Received!$A10="","",IF(Received!L10="",IF(TODAY()&gt;DATE(Settings!$B$3,12,Settings!$B$4),"Missing",""),IF(Received!L10&lt;=DATE(Settings!$B$3,12,Settings!$B$4),"On time","Late")))</f>
        <v/>
      </c>
      <c r="M10" s="22" t="str">
        <f aca="true">IF(Received!$A10="","",IF(Received!M10="",IF(TODAY()&gt;DATE(Settings!$B$3,13,Settings!$B$4),"Missing",""),IF(Received!M10&lt;=DATE(Settings!$B$3,13,Settings!$B$4),"On time","Late")))</f>
        <v/>
      </c>
    </row>
    <row r="11" customFormat="false" ht="19.5" hidden="false" customHeight="true" outlineLevel="0" collapsed="false">
      <c r="A11" s="22" t="str">
        <f aca="false">IF(Received!A11="","",Received!A11)</f>
        <v/>
      </c>
      <c r="B11" s="22" t="str">
        <f aca="true">IF(Received!$A11="","",IF(Received!B11="",IF(TODAY()&gt;DATE(Settings!$B$3,2,Settings!$B$4),"Missing",""),IF(Received!B11&lt;=DATE(Settings!$B$3,2,Settings!$B$4),"On time","Late")))</f>
        <v/>
      </c>
      <c r="C11" s="22" t="str">
        <f aca="true">IF(Received!$A11="","",IF(Received!C11="",IF(TODAY()&gt;DATE(Settings!$B$3,3,Settings!$B$4),"Missing",""),IF(Received!C11&lt;=DATE(Settings!$B$3,3,Settings!$B$4),"On time","Late")))</f>
        <v/>
      </c>
      <c r="D11" s="22" t="str">
        <f aca="true">IF(Received!$A11="","",IF(Received!D11="",IF(TODAY()&gt;DATE(Settings!$B$3,4,Settings!$B$4),"Missing",""),IF(Received!D11&lt;=DATE(Settings!$B$3,4,Settings!$B$4),"On time","Late")))</f>
        <v/>
      </c>
      <c r="E11" s="22" t="str">
        <f aca="true">IF(Received!$A11="","",IF(Received!E11="",IF(TODAY()&gt;DATE(Settings!$B$3,5,Settings!$B$4),"Missing",""),IF(Received!E11&lt;=DATE(Settings!$B$3,5,Settings!$B$4),"On time","Late")))</f>
        <v/>
      </c>
      <c r="F11" s="22" t="str">
        <f aca="true">IF(Received!$A11="","",IF(Received!F11="",IF(TODAY()&gt;DATE(Settings!$B$3,6,Settings!$B$4),"Missing",""),IF(Received!F11&lt;=DATE(Settings!$B$3,6,Settings!$B$4),"On time","Late")))</f>
        <v/>
      </c>
      <c r="G11" s="22" t="str">
        <f aca="true">IF(Received!$A11="","",IF(Received!G11="",IF(TODAY()&gt;DATE(Settings!$B$3,7,Settings!$B$4),"Missing",""),IF(Received!G11&lt;=DATE(Settings!$B$3,7,Settings!$B$4),"On time","Late")))</f>
        <v/>
      </c>
      <c r="H11" s="22" t="str">
        <f aca="true">IF(Received!$A11="","",IF(Received!H11="",IF(TODAY()&gt;DATE(Settings!$B$3,8,Settings!$B$4),"Missing",""),IF(Received!H11&lt;=DATE(Settings!$B$3,8,Settings!$B$4),"On time","Late")))</f>
        <v/>
      </c>
      <c r="I11" s="22" t="str">
        <f aca="true">IF(Received!$A11="","",IF(Received!I11="",IF(TODAY()&gt;DATE(Settings!$B$3,9,Settings!$B$4),"Missing",""),IF(Received!I11&lt;=DATE(Settings!$B$3,9,Settings!$B$4),"On time","Late")))</f>
        <v/>
      </c>
      <c r="J11" s="22" t="str">
        <f aca="true">IF(Received!$A11="","",IF(Received!J11="",IF(TODAY()&gt;DATE(Settings!$B$3,10,Settings!$B$4),"Missing",""),IF(Received!J11&lt;=DATE(Settings!$B$3,10,Settings!$B$4),"On time","Late")))</f>
        <v/>
      </c>
      <c r="K11" s="22" t="str">
        <f aca="true">IF(Received!$A11="","",IF(Received!K11="",IF(TODAY()&gt;DATE(Settings!$B$3,11,Settings!$B$4),"Missing",""),IF(Received!K11&lt;=DATE(Settings!$B$3,11,Settings!$B$4),"On time","Late")))</f>
        <v/>
      </c>
      <c r="L11" s="22" t="str">
        <f aca="true">IF(Received!$A11="","",IF(Received!L11="",IF(TODAY()&gt;DATE(Settings!$B$3,12,Settings!$B$4),"Missing",""),IF(Received!L11&lt;=DATE(Settings!$B$3,12,Settings!$B$4),"On time","Late")))</f>
        <v/>
      </c>
      <c r="M11" s="22" t="str">
        <f aca="true">IF(Received!$A11="","",IF(Received!M11="",IF(TODAY()&gt;DATE(Settings!$B$3,13,Settings!$B$4),"Missing",""),IF(Received!M11&lt;=DATE(Settings!$B$3,13,Settings!$B$4),"On time","Late")))</f>
        <v/>
      </c>
    </row>
    <row r="12" customFormat="false" ht="19.5" hidden="false" customHeight="true" outlineLevel="0" collapsed="false">
      <c r="A12" s="22" t="str">
        <f aca="false">IF(Received!A12="","",Received!A12)</f>
        <v/>
      </c>
      <c r="B12" s="22" t="str">
        <f aca="true">IF(Received!$A12="","",IF(Received!B12="",IF(TODAY()&gt;DATE(Settings!$B$3,2,Settings!$B$4),"Missing",""),IF(Received!B12&lt;=DATE(Settings!$B$3,2,Settings!$B$4),"On time","Late")))</f>
        <v/>
      </c>
      <c r="C12" s="22" t="str">
        <f aca="true">IF(Received!$A12="","",IF(Received!C12="",IF(TODAY()&gt;DATE(Settings!$B$3,3,Settings!$B$4),"Missing",""),IF(Received!C12&lt;=DATE(Settings!$B$3,3,Settings!$B$4),"On time","Late")))</f>
        <v/>
      </c>
      <c r="D12" s="22" t="str">
        <f aca="true">IF(Received!$A12="","",IF(Received!D12="",IF(TODAY()&gt;DATE(Settings!$B$3,4,Settings!$B$4),"Missing",""),IF(Received!D12&lt;=DATE(Settings!$B$3,4,Settings!$B$4),"On time","Late")))</f>
        <v/>
      </c>
      <c r="E12" s="22" t="str">
        <f aca="true">IF(Received!$A12="","",IF(Received!E12="",IF(TODAY()&gt;DATE(Settings!$B$3,5,Settings!$B$4),"Missing",""),IF(Received!E12&lt;=DATE(Settings!$B$3,5,Settings!$B$4),"On time","Late")))</f>
        <v/>
      </c>
      <c r="F12" s="22" t="str">
        <f aca="true">IF(Received!$A12="","",IF(Received!F12="",IF(TODAY()&gt;DATE(Settings!$B$3,6,Settings!$B$4),"Missing",""),IF(Received!F12&lt;=DATE(Settings!$B$3,6,Settings!$B$4),"On time","Late")))</f>
        <v/>
      </c>
      <c r="G12" s="22" t="str">
        <f aca="true">IF(Received!$A12="","",IF(Received!G12="",IF(TODAY()&gt;DATE(Settings!$B$3,7,Settings!$B$4),"Missing",""),IF(Received!G12&lt;=DATE(Settings!$B$3,7,Settings!$B$4),"On time","Late")))</f>
        <v/>
      </c>
      <c r="H12" s="22" t="str">
        <f aca="true">IF(Received!$A12="","",IF(Received!H12="",IF(TODAY()&gt;DATE(Settings!$B$3,8,Settings!$B$4),"Missing",""),IF(Received!H12&lt;=DATE(Settings!$B$3,8,Settings!$B$4),"On time","Late")))</f>
        <v/>
      </c>
      <c r="I12" s="22" t="str">
        <f aca="true">IF(Received!$A12="","",IF(Received!I12="",IF(TODAY()&gt;DATE(Settings!$B$3,9,Settings!$B$4),"Missing",""),IF(Received!I12&lt;=DATE(Settings!$B$3,9,Settings!$B$4),"On time","Late")))</f>
        <v/>
      </c>
      <c r="J12" s="22" t="str">
        <f aca="true">IF(Received!$A12="","",IF(Received!J12="",IF(TODAY()&gt;DATE(Settings!$B$3,10,Settings!$B$4),"Missing",""),IF(Received!J12&lt;=DATE(Settings!$B$3,10,Settings!$B$4),"On time","Late")))</f>
        <v/>
      </c>
      <c r="K12" s="22" t="str">
        <f aca="true">IF(Received!$A12="","",IF(Received!K12="",IF(TODAY()&gt;DATE(Settings!$B$3,11,Settings!$B$4),"Missing",""),IF(Received!K12&lt;=DATE(Settings!$B$3,11,Settings!$B$4),"On time","Late")))</f>
        <v/>
      </c>
      <c r="L12" s="22" t="str">
        <f aca="true">IF(Received!$A12="","",IF(Received!L12="",IF(TODAY()&gt;DATE(Settings!$B$3,12,Settings!$B$4),"Missing",""),IF(Received!L12&lt;=DATE(Settings!$B$3,12,Settings!$B$4),"On time","Late")))</f>
        <v/>
      </c>
      <c r="M12" s="22" t="str">
        <f aca="true">IF(Received!$A12="","",IF(Received!M12="",IF(TODAY()&gt;DATE(Settings!$B$3,13,Settings!$B$4),"Missing",""),IF(Received!M12&lt;=DATE(Settings!$B$3,13,Settings!$B$4),"On time","Late")))</f>
        <v/>
      </c>
    </row>
    <row r="13" customFormat="false" ht="19.5" hidden="false" customHeight="true" outlineLevel="0" collapsed="false">
      <c r="A13" s="22" t="str">
        <f aca="false">IF(Received!A13="","",Received!A13)</f>
        <v/>
      </c>
      <c r="B13" s="22" t="str">
        <f aca="true">IF(Received!$A13="","",IF(Received!B13="",IF(TODAY()&gt;DATE(Settings!$B$3,2,Settings!$B$4),"Missing",""),IF(Received!B13&lt;=DATE(Settings!$B$3,2,Settings!$B$4),"On time","Late")))</f>
        <v/>
      </c>
      <c r="C13" s="22" t="str">
        <f aca="true">IF(Received!$A13="","",IF(Received!C13="",IF(TODAY()&gt;DATE(Settings!$B$3,3,Settings!$B$4),"Missing",""),IF(Received!C13&lt;=DATE(Settings!$B$3,3,Settings!$B$4),"On time","Late")))</f>
        <v/>
      </c>
      <c r="D13" s="22" t="str">
        <f aca="true">IF(Received!$A13="","",IF(Received!D13="",IF(TODAY()&gt;DATE(Settings!$B$3,4,Settings!$B$4),"Missing",""),IF(Received!D13&lt;=DATE(Settings!$B$3,4,Settings!$B$4),"On time","Late")))</f>
        <v/>
      </c>
      <c r="E13" s="22" t="str">
        <f aca="true">IF(Received!$A13="","",IF(Received!E13="",IF(TODAY()&gt;DATE(Settings!$B$3,5,Settings!$B$4),"Missing",""),IF(Received!E13&lt;=DATE(Settings!$B$3,5,Settings!$B$4),"On time","Late")))</f>
        <v/>
      </c>
      <c r="F13" s="22" t="str">
        <f aca="true">IF(Received!$A13="","",IF(Received!F13="",IF(TODAY()&gt;DATE(Settings!$B$3,6,Settings!$B$4),"Missing",""),IF(Received!F13&lt;=DATE(Settings!$B$3,6,Settings!$B$4),"On time","Late")))</f>
        <v/>
      </c>
      <c r="G13" s="22" t="str">
        <f aca="true">IF(Received!$A13="","",IF(Received!G13="",IF(TODAY()&gt;DATE(Settings!$B$3,7,Settings!$B$4),"Missing",""),IF(Received!G13&lt;=DATE(Settings!$B$3,7,Settings!$B$4),"On time","Late")))</f>
        <v/>
      </c>
      <c r="H13" s="22" t="str">
        <f aca="true">IF(Received!$A13="","",IF(Received!H13="",IF(TODAY()&gt;DATE(Settings!$B$3,8,Settings!$B$4),"Missing",""),IF(Received!H13&lt;=DATE(Settings!$B$3,8,Settings!$B$4),"On time","Late")))</f>
        <v/>
      </c>
      <c r="I13" s="22" t="str">
        <f aca="true">IF(Received!$A13="","",IF(Received!I13="",IF(TODAY()&gt;DATE(Settings!$B$3,9,Settings!$B$4),"Missing",""),IF(Received!I13&lt;=DATE(Settings!$B$3,9,Settings!$B$4),"On time","Late")))</f>
        <v/>
      </c>
      <c r="J13" s="22" t="str">
        <f aca="true">IF(Received!$A13="","",IF(Received!J13="",IF(TODAY()&gt;DATE(Settings!$B$3,10,Settings!$B$4),"Missing",""),IF(Received!J13&lt;=DATE(Settings!$B$3,10,Settings!$B$4),"On time","Late")))</f>
        <v/>
      </c>
      <c r="K13" s="22" t="str">
        <f aca="true">IF(Received!$A13="","",IF(Received!K13="",IF(TODAY()&gt;DATE(Settings!$B$3,11,Settings!$B$4),"Missing",""),IF(Received!K13&lt;=DATE(Settings!$B$3,11,Settings!$B$4),"On time","Late")))</f>
        <v/>
      </c>
      <c r="L13" s="22" t="str">
        <f aca="true">IF(Received!$A13="","",IF(Received!L13="",IF(TODAY()&gt;DATE(Settings!$B$3,12,Settings!$B$4),"Missing",""),IF(Received!L13&lt;=DATE(Settings!$B$3,12,Settings!$B$4),"On time","Late")))</f>
        <v/>
      </c>
      <c r="M13" s="22" t="str">
        <f aca="true">IF(Received!$A13="","",IF(Received!M13="",IF(TODAY()&gt;DATE(Settings!$B$3,13,Settings!$B$4),"Missing",""),IF(Received!M13&lt;=DATE(Settings!$B$3,13,Settings!$B$4),"On time","Late")))</f>
        <v/>
      </c>
    </row>
    <row r="14" customFormat="false" ht="19.5" hidden="false" customHeight="true" outlineLevel="0" collapsed="false">
      <c r="A14" s="22" t="str">
        <f aca="false">IF(Received!A14="","",Received!A14)</f>
        <v/>
      </c>
      <c r="B14" s="22" t="str">
        <f aca="true">IF(Received!$A14="","",IF(Received!B14="",IF(TODAY()&gt;DATE(Settings!$B$3,2,Settings!$B$4),"Missing",""),IF(Received!B14&lt;=DATE(Settings!$B$3,2,Settings!$B$4),"On time","Late")))</f>
        <v/>
      </c>
      <c r="C14" s="22" t="str">
        <f aca="true">IF(Received!$A14="","",IF(Received!C14="",IF(TODAY()&gt;DATE(Settings!$B$3,3,Settings!$B$4),"Missing",""),IF(Received!C14&lt;=DATE(Settings!$B$3,3,Settings!$B$4),"On time","Late")))</f>
        <v/>
      </c>
      <c r="D14" s="22" t="str">
        <f aca="true">IF(Received!$A14="","",IF(Received!D14="",IF(TODAY()&gt;DATE(Settings!$B$3,4,Settings!$B$4),"Missing",""),IF(Received!D14&lt;=DATE(Settings!$B$3,4,Settings!$B$4),"On time","Late")))</f>
        <v/>
      </c>
      <c r="E14" s="22" t="str">
        <f aca="true">IF(Received!$A14="","",IF(Received!E14="",IF(TODAY()&gt;DATE(Settings!$B$3,5,Settings!$B$4),"Missing",""),IF(Received!E14&lt;=DATE(Settings!$B$3,5,Settings!$B$4),"On time","Late")))</f>
        <v/>
      </c>
      <c r="F14" s="22" t="str">
        <f aca="true">IF(Received!$A14="","",IF(Received!F14="",IF(TODAY()&gt;DATE(Settings!$B$3,6,Settings!$B$4),"Missing",""),IF(Received!F14&lt;=DATE(Settings!$B$3,6,Settings!$B$4),"On time","Late")))</f>
        <v/>
      </c>
      <c r="G14" s="22" t="str">
        <f aca="true">IF(Received!$A14="","",IF(Received!G14="",IF(TODAY()&gt;DATE(Settings!$B$3,7,Settings!$B$4),"Missing",""),IF(Received!G14&lt;=DATE(Settings!$B$3,7,Settings!$B$4),"On time","Late")))</f>
        <v/>
      </c>
      <c r="H14" s="22" t="str">
        <f aca="true">IF(Received!$A14="","",IF(Received!H14="",IF(TODAY()&gt;DATE(Settings!$B$3,8,Settings!$B$4),"Missing",""),IF(Received!H14&lt;=DATE(Settings!$B$3,8,Settings!$B$4),"On time","Late")))</f>
        <v/>
      </c>
      <c r="I14" s="22" t="str">
        <f aca="true">IF(Received!$A14="","",IF(Received!I14="",IF(TODAY()&gt;DATE(Settings!$B$3,9,Settings!$B$4),"Missing",""),IF(Received!I14&lt;=DATE(Settings!$B$3,9,Settings!$B$4),"On time","Late")))</f>
        <v/>
      </c>
      <c r="J14" s="22" t="str">
        <f aca="true">IF(Received!$A14="","",IF(Received!J14="",IF(TODAY()&gt;DATE(Settings!$B$3,10,Settings!$B$4),"Missing",""),IF(Received!J14&lt;=DATE(Settings!$B$3,10,Settings!$B$4),"On time","Late")))</f>
        <v/>
      </c>
      <c r="K14" s="22" t="str">
        <f aca="true">IF(Received!$A14="","",IF(Received!K14="",IF(TODAY()&gt;DATE(Settings!$B$3,11,Settings!$B$4),"Missing",""),IF(Received!K14&lt;=DATE(Settings!$B$3,11,Settings!$B$4),"On time","Late")))</f>
        <v/>
      </c>
      <c r="L14" s="22" t="str">
        <f aca="true">IF(Received!$A14="","",IF(Received!L14="",IF(TODAY()&gt;DATE(Settings!$B$3,12,Settings!$B$4),"Missing",""),IF(Received!L14&lt;=DATE(Settings!$B$3,12,Settings!$B$4),"On time","Late")))</f>
        <v/>
      </c>
      <c r="M14" s="22" t="str">
        <f aca="true">IF(Received!$A14="","",IF(Received!M14="",IF(TODAY()&gt;DATE(Settings!$B$3,13,Settings!$B$4),"Missing",""),IF(Received!M14&lt;=DATE(Settings!$B$3,13,Settings!$B$4),"On time","Late")))</f>
        <v/>
      </c>
    </row>
    <row r="15" customFormat="false" ht="19.5" hidden="false" customHeight="true" outlineLevel="0" collapsed="false">
      <c r="A15" s="22" t="str">
        <f aca="false">IF(Received!A15="","",Received!A15)</f>
        <v/>
      </c>
      <c r="B15" s="22" t="str">
        <f aca="true">IF(Received!$A15="","",IF(Received!B15="",IF(TODAY()&gt;DATE(Settings!$B$3,2,Settings!$B$4),"Missing",""),IF(Received!B15&lt;=DATE(Settings!$B$3,2,Settings!$B$4),"On time","Late")))</f>
        <v/>
      </c>
      <c r="C15" s="22" t="str">
        <f aca="true">IF(Received!$A15="","",IF(Received!C15="",IF(TODAY()&gt;DATE(Settings!$B$3,3,Settings!$B$4),"Missing",""),IF(Received!C15&lt;=DATE(Settings!$B$3,3,Settings!$B$4),"On time","Late")))</f>
        <v/>
      </c>
      <c r="D15" s="22" t="str">
        <f aca="true">IF(Received!$A15="","",IF(Received!D15="",IF(TODAY()&gt;DATE(Settings!$B$3,4,Settings!$B$4),"Missing",""),IF(Received!D15&lt;=DATE(Settings!$B$3,4,Settings!$B$4),"On time","Late")))</f>
        <v/>
      </c>
      <c r="E15" s="22" t="str">
        <f aca="true">IF(Received!$A15="","",IF(Received!E15="",IF(TODAY()&gt;DATE(Settings!$B$3,5,Settings!$B$4),"Missing",""),IF(Received!E15&lt;=DATE(Settings!$B$3,5,Settings!$B$4),"On time","Late")))</f>
        <v/>
      </c>
      <c r="F15" s="22" t="str">
        <f aca="true">IF(Received!$A15="","",IF(Received!F15="",IF(TODAY()&gt;DATE(Settings!$B$3,6,Settings!$B$4),"Missing",""),IF(Received!F15&lt;=DATE(Settings!$B$3,6,Settings!$B$4),"On time","Late")))</f>
        <v/>
      </c>
      <c r="G15" s="22" t="str">
        <f aca="true">IF(Received!$A15="","",IF(Received!G15="",IF(TODAY()&gt;DATE(Settings!$B$3,7,Settings!$B$4),"Missing",""),IF(Received!G15&lt;=DATE(Settings!$B$3,7,Settings!$B$4),"On time","Late")))</f>
        <v/>
      </c>
      <c r="H15" s="22" t="str">
        <f aca="true">IF(Received!$A15="","",IF(Received!H15="",IF(TODAY()&gt;DATE(Settings!$B$3,8,Settings!$B$4),"Missing",""),IF(Received!H15&lt;=DATE(Settings!$B$3,8,Settings!$B$4),"On time","Late")))</f>
        <v/>
      </c>
      <c r="I15" s="22" t="str">
        <f aca="true">IF(Received!$A15="","",IF(Received!I15="",IF(TODAY()&gt;DATE(Settings!$B$3,9,Settings!$B$4),"Missing",""),IF(Received!I15&lt;=DATE(Settings!$B$3,9,Settings!$B$4),"On time","Late")))</f>
        <v/>
      </c>
      <c r="J15" s="22" t="str">
        <f aca="true">IF(Received!$A15="","",IF(Received!J15="",IF(TODAY()&gt;DATE(Settings!$B$3,10,Settings!$B$4),"Missing",""),IF(Received!J15&lt;=DATE(Settings!$B$3,10,Settings!$B$4),"On time","Late")))</f>
        <v/>
      </c>
      <c r="K15" s="22" t="str">
        <f aca="true">IF(Received!$A15="","",IF(Received!K15="",IF(TODAY()&gt;DATE(Settings!$B$3,11,Settings!$B$4),"Missing",""),IF(Received!K15&lt;=DATE(Settings!$B$3,11,Settings!$B$4),"On time","Late")))</f>
        <v/>
      </c>
      <c r="L15" s="22" t="str">
        <f aca="true">IF(Received!$A15="","",IF(Received!L15="",IF(TODAY()&gt;DATE(Settings!$B$3,12,Settings!$B$4),"Missing",""),IF(Received!L15&lt;=DATE(Settings!$B$3,12,Settings!$B$4),"On time","Late")))</f>
        <v/>
      </c>
      <c r="M15" s="22" t="str">
        <f aca="true">IF(Received!$A15="","",IF(Received!M15="",IF(TODAY()&gt;DATE(Settings!$B$3,13,Settings!$B$4),"Missing",""),IF(Received!M15&lt;=DATE(Settings!$B$3,13,Settings!$B$4),"On time","Late")))</f>
        <v/>
      </c>
    </row>
    <row r="16" customFormat="false" ht="19.5" hidden="false" customHeight="true" outlineLevel="0" collapsed="false">
      <c r="A16" s="22" t="str">
        <f aca="false">IF(Received!A16="","",Received!A16)</f>
        <v/>
      </c>
      <c r="B16" s="22" t="str">
        <f aca="true">IF(Received!$A16="","",IF(Received!B16="",IF(TODAY()&gt;DATE(Settings!$B$3,2,Settings!$B$4),"Missing",""),IF(Received!B16&lt;=DATE(Settings!$B$3,2,Settings!$B$4),"On time","Late")))</f>
        <v/>
      </c>
      <c r="C16" s="22" t="str">
        <f aca="true">IF(Received!$A16="","",IF(Received!C16="",IF(TODAY()&gt;DATE(Settings!$B$3,3,Settings!$B$4),"Missing",""),IF(Received!C16&lt;=DATE(Settings!$B$3,3,Settings!$B$4),"On time","Late")))</f>
        <v/>
      </c>
      <c r="D16" s="22" t="str">
        <f aca="true">IF(Received!$A16="","",IF(Received!D16="",IF(TODAY()&gt;DATE(Settings!$B$3,4,Settings!$B$4),"Missing",""),IF(Received!D16&lt;=DATE(Settings!$B$3,4,Settings!$B$4),"On time","Late")))</f>
        <v/>
      </c>
      <c r="E16" s="22" t="str">
        <f aca="true">IF(Received!$A16="","",IF(Received!E16="",IF(TODAY()&gt;DATE(Settings!$B$3,5,Settings!$B$4),"Missing",""),IF(Received!E16&lt;=DATE(Settings!$B$3,5,Settings!$B$4),"On time","Late")))</f>
        <v/>
      </c>
      <c r="F16" s="22" t="str">
        <f aca="true">IF(Received!$A16="","",IF(Received!F16="",IF(TODAY()&gt;DATE(Settings!$B$3,6,Settings!$B$4),"Missing",""),IF(Received!F16&lt;=DATE(Settings!$B$3,6,Settings!$B$4),"On time","Late")))</f>
        <v/>
      </c>
      <c r="G16" s="22" t="str">
        <f aca="true">IF(Received!$A16="","",IF(Received!G16="",IF(TODAY()&gt;DATE(Settings!$B$3,7,Settings!$B$4),"Missing",""),IF(Received!G16&lt;=DATE(Settings!$B$3,7,Settings!$B$4),"On time","Late")))</f>
        <v/>
      </c>
      <c r="H16" s="22" t="str">
        <f aca="true">IF(Received!$A16="","",IF(Received!H16="",IF(TODAY()&gt;DATE(Settings!$B$3,8,Settings!$B$4),"Missing",""),IF(Received!H16&lt;=DATE(Settings!$B$3,8,Settings!$B$4),"On time","Late")))</f>
        <v/>
      </c>
      <c r="I16" s="22" t="str">
        <f aca="true">IF(Received!$A16="","",IF(Received!I16="",IF(TODAY()&gt;DATE(Settings!$B$3,9,Settings!$B$4),"Missing",""),IF(Received!I16&lt;=DATE(Settings!$B$3,9,Settings!$B$4),"On time","Late")))</f>
        <v/>
      </c>
      <c r="J16" s="22" t="str">
        <f aca="true">IF(Received!$A16="","",IF(Received!J16="",IF(TODAY()&gt;DATE(Settings!$B$3,10,Settings!$B$4),"Missing",""),IF(Received!J16&lt;=DATE(Settings!$B$3,10,Settings!$B$4),"On time","Late")))</f>
        <v/>
      </c>
      <c r="K16" s="22" t="str">
        <f aca="true">IF(Received!$A16="","",IF(Received!K16="",IF(TODAY()&gt;DATE(Settings!$B$3,11,Settings!$B$4),"Missing",""),IF(Received!K16&lt;=DATE(Settings!$B$3,11,Settings!$B$4),"On time","Late")))</f>
        <v/>
      </c>
      <c r="L16" s="22" t="str">
        <f aca="true">IF(Received!$A16="","",IF(Received!L16="",IF(TODAY()&gt;DATE(Settings!$B$3,12,Settings!$B$4),"Missing",""),IF(Received!L16&lt;=DATE(Settings!$B$3,12,Settings!$B$4),"On time","Late")))</f>
        <v/>
      </c>
      <c r="M16" s="22" t="str">
        <f aca="true">IF(Received!$A16="","",IF(Received!M16="",IF(TODAY()&gt;DATE(Settings!$B$3,13,Settings!$B$4),"Missing",""),IF(Received!M16&lt;=DATE(Settings!$B$3,13,Settings!$B$4),"On time","Late")))</f>
        <v/>
      </c>
    </row>
    <row r="17" customFormat="false" ht="19.5" hidden="false" customHeight="true" outlineLevel="0" collapsed="false">
      <c r="A17" s="22" t="str">
        <f aca="false">IF(Received!A17="","",Received!A17)</f>
        <v/>
      </c>
      <c r="B17" s="22" t="str">
        <f aca="true">IF(Received!$A17="","",IF(Received!B17="",IF(TODAY()&gt;DATE(Settings!$B$3,2,Settings!$B$4),"Missing",""),IF(Received!B17&lt;=DATE(Settings!$B$3,2,Settings!$B$4),"On time","Late")))</f>
        <v/>
      </c>
      <c r="C17" s="22" t="str">
        <f aca="true">IF(Received!$A17="","",IF(Received!C17="",IF(TODAY()&gt;DATE(Settings!$B$3,3,Settings!$B$4),"Missing",""),IF(Received!C17&lt;=DATE(Settings!$B$3,3,Settings!$B$4),"On time","Late")))</f>
        <v/>
      </c>
      <c r="D17" s="22" t="str">
        <f aca="true">IF(Received!$A17="","",IF(Received!D17="",IF(TODAY()&gt;DATE(Settings!$B$3,4,Settings!$B$4),"Missing",""),IF(Received!D17&lt;=DATE(Settings!$B$3,4,Settings!$B$4),"On time","Late")))</f>
        <v/>
      </c>
      <c r="E17" s="22" t="str">
        <f aca="true">IF(Received!$A17="","",IF(Received!E17="",IF(TODAY()&gt;DATE(Settings!$B$3,5,Settings!$B$4),"Missing",""),IF(Received!E17&lt;=DATE(Settings!$B$3,5,Settings!$B$4),"On time","Late")))</f>
        <v/>
      </c>
      <c r="F17" s="22" t="str">
        <f aca="true">IF(Received!$A17="","",IF(Received!F17="",IF(TODAY()&gt;DATE(Settings!$B$3,6,Settings!$B$4),"Missing",""),IF(Received!F17&lt;=DATE(Settings!$B$3,6,Settings!$B$4),"On time","Late")))</f>
        <v/>
      </c>
      <c r="G17" s="22" t="str">
        <f aca="true">IF(Received!$A17="","",IF(Received!G17="",IF(TODAY()&gt;DATE(Settings!$B$3,7,Settings!$B$4),"Missing",""),IF(Received!G17&lt;=DATE(Settings!$B$3,7,Settings!$B$4),"On time","Late")))</f>
        <v/>
      </c>
      <c r="H17" s="22" t="str">
        <f aca="true">IF(Received!$A17="","",IF(Received!H17="",IF(TODAY()&gt;DATE(Settings!$B$3,8,Settings!$B$4),"Missing",""),IF(Received!H17&lt;=DATE(Settings!$B$3,8,Settings!$B$4),"On time","Late")))</f>
        <v/>
      </c>
      <c r="I17" s="22" t="str">
        <f aca="true">IF(Received!$A17="","",IF(Received!I17="",IF(TODAY()&gt;DATE(Settings!$B$3,9,Settings!$B$4),"Missing",""),IF(Received!I17&lt;=DATE(Settings!$B$3,9,Settings!$B$4),"On time","Late")))</f>
        <v/>
      </c>
      <c r="J17" s="22" t="str">
        <f aca="true">IF(Received!$A17="","",IF(Received!J17="",IF(TODAY()&gt;DATE(Settings!$B$3,10,Settings!$B$4),"Missing",""),IF(Received!J17&lt;=DATE(Settings!$B$3,10,Settings!$B$4),"On time","Late")))</f>
        <v/>
      </c>
      <c r="K17" s="22" t="str">
        <f aca="true">IF(Received!$A17="","",IF(Received!K17="",IF(TODAY()&gt;DATE(Settings!$B$3,11,Settings!$B$4),"Missing",""),IF(Received!K17&lt;=DATE(Settings!$B$3,11,Settings!$B$4),"On time","Late")))</f>
        <v/>
      </c>
      <c r="L17" s="22" t="str">
        <f aca="true">IF(Received!$A17="","",IF(Received!L17="",IF(TODAY()&gt;DATE(Settings!$B$3,12,Settings!$B$4),"Missing",""),IF(Received!L17&lt;=DATE(Settings!$B$3,12,Settings!$B$4),"On time","Late")))</f>
        <v/>
      </c>
      <c r="M17" s="22" t="str">
        <f aca="true">IF(Received!$A17="","",IF(Received!M17="",IF(TODAY()&gt;DATE(Settings!$B$3,13,Settings!$B$4),"Missing",""),IF(Received!M17&lt;=DATE(Settings!$B$3,13,Settings!$B$4),"On time","Late")))</f>
        <v/>
      </c>
    </row>
    <row r="18" customFormat="false" ht="19.5" hidden="false" customHeight="true" outlineLevel="0" collapsed="false">
      <c r="A18" s="22" t="str">
        <f aca="false">IF(Received!A18="","",Received!A18)</f>
        <v/>
      </c>
      <c r="B18" s="22" t="str">
        <f aca="true">IF(Received!$A18="","",IF(Received!B18="",IF(TODAY()&gt;DATE(Settings!$B$3,2,Settings!$B$4),"Missing",""),IF(Received!B18&lt;=DATE(Settings!$B$3,2,Settings!$B$4),"On time","Late")))</f>
        <v/>
      </c>
      <c r="C18" s="22" t="str">
        <f aca="true">IF(Received!$A18="","",IF(Received!C18="",IF(TODAY()&gt;DATE(Settings!$B$3,3,Settings!$B$4),"Missing",""),IF(Received!C18&lt;=DATE(Settings!$B$3,3,Settings!$B$4),"On time","Late")))</f>
        <v/>
      </c>
      <c r="D18" s="22" t="str">
        <f aca="true">IF(Received!$A18="","",IF(Received!D18="",IF(TODAY()&gt;DATE(Settings!$B$3,4,Settings!$B$4),"Missing",""),IF(Received!D18&lt;=DATE(Settings!$B$3,4,Settings!$B$4),"On time","Late")))</f>
        <v/>
      </c>
      <c r="E18" s="22" t="str">
        <f aca="true">IF(Received!$A18="","",IF(Received!E18="",IF(TODAY()&gt;DATE(Settings!$B$3,5,Settings!$B$4),"Missing",""),IF(Received!E18&lt;=DATE(Settings!$B$3,5,Settings!$B$4),"On time","Late")))</f>
        <v/>
      </c>
      <c r="F18" s="22" t="str">
        <f aca="true">IF(Received!$A18="","",IF(Received!F18="",IF(TODAY()&gt;DATE(Settings!$B$3,6,Settings!$B$4),"Missing",""),IF(Received!F18&lt;=DATE(Settings!$B$3,6,Settings!$B$4),"On time","Late")))</f>
        <v/>
      </c>
      <c r="G18" s="22" t="str">
        <f aca="true">IF(Received!$A18="","",IF(Received!G18="",IF(TODAY()&gt;DATE(Settings!$B$3,7,Settings!$B$4),"Missing",""),IF(Received!G18&lt;=DATE(Settings!$B$3,7,Settings!$B$4),"On time","Late")))</f>
        <v/>
      </c>
      <c r="H18" s="22" t="str">
        <f aca="true">IF(Received!$A18="","",IF(Received!H18="",IF(TODAY()&gt;DATE(Settings!$B$3,8,Settings!$B$4),"Missing",""),IF(Received!H18&lt;=DATE(Settings!$B$3,8,Settings!$B$4),"On time","Late")))</f>
        <v/>
      </c>
      <c r="I18" s="22" t="str">
        <f aca="true">IF(Received!$A18="","",IF(Received!I18="",IF(TODAY()&gt;DATE(Settings!$B$3,9,Settings!$B$4),"Missing",""),IF(Received!I18&lt;=DATE(Settings!$B$3,9,Settings!$B$4),"On time","Late")))</f>
        <v/>
      </c>
      <c r="J18" s="22" t="str">
        <f aca="true">IF(Received!$A18="","",IF(Received!J18="",IF(TODAY()&gt;DATE(Settings!$B$3,10,Settings!$B$4),"Missing",""),IF(Received!J18&lt;=DATE(Settings!$B$3,10,Settings!$B$4),"On time","Late")))</f>
        <v/>
      </c>
      <c r="K18" s="22" t="str">
        <f aca="true">IF(Received!$A18="","",IF(Received!K18="",IF(TODAY()&gt;DATE(Settings!$B$3,11,Settings!$B$4),"Missing",""),IF(Received!K18&lt;=DATE(Settings!$B$3,11,Settings!$B$4),"On time","Late")))</f>
        <v/>
      </c>
      <c r="L18" s="22" t="str">
        <f aca="true">IF(Received!$A18="","",IF(Received!L18="",IF(TODAY()&gt;DATE(Settings!$B$3,12,Settings!$B$4),"Missing",""),IF(Received!L18&lt;=DATE(Settings!$B$3,12,Settings!$B$4),"On time","Late")))</f>
        <v/>
      </c>
      <c r="M18" s="22" t="str">
        <f aca="true">IF(Received!$A18="","",IF(Received!M18="",IF(TODAY()&gt;DATE(Settings!$B$3,13,Settings!$B$4),"Missing",""),IF(Received!M18&lt;=DATE(Settings!$B$3,13,Settings!$B$4),"On time","Late")))</f>
        <v/>
      </c>
    </row>
    <row r="19" customFormat="false" ht="19.5" hidden="false" customHeight="true" outlineLevel="0" collapsed="false">
      <c r="A19" s="22" t="str">
        <f aca="false">IF(Received!A19="","",Received!A19)</f>
        <v/>
      </c>
      <c r="B19" s="22" t="str">
        <f aca="true">IF(Received!$A19="","",IF(Received!B19="",IF(TODAY()&gt;DATE(Settings!$B$3,2,Settings!$B$4),"Missing",""),IF(Received!B19&lt;=DATE(Settings!$B$3,2,Settings!$B$4),"On time","Late")))</f>
        <v/>
      </c>
      <c r="C19" s="22" t="str">
        <f aca="true">IF(Received!$A19="","",IF(Received!C19="",IF(TODAY()&gt;DATE(Settings!$B$3,3,Settings!$B$4),"Missing",""),IF(Received!C19&lt;=DATE(Settings!$B$3,3,Settings!$B$4),"On time","Late")))</f>
        <v/>
      </c>
      <c r="D19" s="22" t="str">
        <f aca="true">IF(Received!$A19="","",IF(Received!D19="",IF(TODAY()&gt;DATE(Settings!$B$3,4,Settings!$B$4),"Missing",""),IF(Received!D19&lt;=DATE(Settings!$B$3,4,Settings!$B$4),"On time","Late")))</f>
        <v/>
      </c>
      <c r="E19" s="22" t="str">
        <f aca="true">IF(Received!$A19="","",IF(Received!E19="",IF(TODAY()&gt;DATE(Settings!$B$3,5,Settings!$B$4),"Missing",""),IF(Received!E19&lt;=DATE(Settings!$B$3,5,Settings!$B$4),"On time","Late")))</f>
        <v/>
      </c>
      <c r="F19" s="22" t="str">
        <f aca="true">IF(Received!$A19="","",IF(Received!F19="",IF(TODAY()&gt;DATE(Settings!$B$3,6,Settings!$B$4),"Missing",""),IF(Received!F19&lt;=DATE(Settings!$B$3,6,Settings!$B$4),"On time","Late")))</f>
        <v/>
      </c>
      <c r="G19" s="22" t="str">
        <f aca="true">IF(Received!$A19="","",IF(Received!G19="",IF(TODAY()&gt;DATE(Settings!$B$3,7,Settings!$B$4),"Missing",""),IF(Received!G19&lt;=DATE(Settings!$B$3,7,Settings!$B$4),"On time","Late")))</f>
        <v/>
      </c>
      <c r="H19" s="22" t="str">
        <f aca="true">IF(Received!$A19="","",IF(Received!H19="",IF(TODAY()&gt;DATE(Settings!$B$3,8,Settings!$B$4),"Missing",""),IF(Received!H19&lt;=DATE(Settings!$B$3,8,Settings!$B$4),"On time","Late")))</f>
        <v/>
      </c>
      <c r="I19" s="22" t="str">
        <f aca="true">IF(Received!$A19="","",IF(Received!I19="",IF(TODAY()&gt;DATE(Settings!$B$3,9,Settings!$B$4),"Missing",""),IF(Received!I19&lt;=DATE(Settings!$B$3,9,Settings!$B$4),"On time","Late")))</f>
        <v/>
      </c>
      <c r="J19" s="22" t="str">
        <f aca="true">IF(Received!$A19="","",IF(Received!J19="",IF(TODAY()&gt;DATE(Settings!$B$3,10,Settings!$B$4),"Missing",""),IF(Received!J19&lt;=DATE(Settings!$B$3,10,Settings!$B$4),"On time","Late")))</f>
        <v/>
      </c>
      <c r="K19" s="22" t="str">
        <f aca="true">IF(Received!$A19="","",IF(Received!K19="",IF(TODAY()&gt;DATE(Settings!$B$3,11,Settings!$B$4),"Missing",""),IF(Received!K19&lt;=DATE(Settings!$B$3,11,Settings!$B$4),"On time","Late")))</f>
        <v/>
      </c>
      <c r="L19" s="22" t="str">
        <f aca="true">IF(Received!$A19="","",IF(Received!L19="",IF(TODAY()&gt;DATE(Settings!$B$3,12,Settings!$B$4),"Missing",""),IF(Received!L19&lt;=DATE(Settings!$B$3,12,Settings!$B$4),"On time","Late")))</f>
        <v/>
      </c>
      <c r="M19" s="22" t="str">
        <f aca="true">IF(Received!$A19="","",IF(Received!M19="",IF(TODAY()&gt;DATE(Settings!$B$3,13,Settings!$B$4),"Missing",""),IF(Received!M19&lt;=DATE(Settings!$B$3,13,Settings!$B$4),"On time","Late")))</f>
        <v/>
      </c>
    </row>
    <row r="20" customFormat="false" ht="19.5" hidden="false" customHeight="true" outlineLevel="0" collapsed="false">
      <c r="A20" s="22" t="str">
        <f aca="false">IF(Received!A20="","",Received!A20)</f>
        <v/>
      </c>
      <c r="B20" s="22" t="str">
        <f aca="true">IF(Received!$A20="","",IF(Received!B20="",IF(TODAY()&gt;DATE(Settings!$B$3,2,Settings!$B$4),"Missing",""),IF(Received!B20&lt;=DATE(Settings!$B$3,2,Settings!$B$4),"On time","Late")))</f>
        <v/>
      </c>
      <c r="C20" s="22" t="str">
        <f aca="true">IF(Received!$A20="","",IF(Received!C20="",IF(TODAY()&gt;DATE(Settings!$B$3,3,Settings!$B$4),"Missing",""),IF(Received!C20&lt;=DATE(Settings!$B$3,3,Settings!$B$4),"On time","Late")))</f>
        <v/>
      </c>
      <c r="D20" s="22" t="str">
        <f aca="true">IF(Received!$A20="","",IF(Received!D20="",IF(TODAY()&gt;DATE(Settings!$B$3,4,Settings!$B$4),"Missing",""),IF(Received!D20&lt;=DATE(Settings!$B$3,4,Settings!$B$4),"On time","Late")))</f>
        <v/>
      </c>
      <c r="E20" s="22" t="str">
        <f aca="true">IF(Received!$A20="","",IF(Received!E20="",IF(TODAY()&gt;DATE(Settings!$B$3,5,Settings!$B$4),"Missing",""),IF(Received!E20&lt;=DATE(Settings!$B$3,5,Settings!$B$4),"On time","Late")))</f>
        <v/>
      </c>
      <c r="F20" s="22" t="str">
        <f aca="true">IF(Received!$A20="","",IF(Received!F20="",IF(TODAY()&gt;DATE(Settings!$B$3,6,Settings!$B$4),"Missing",""),IF(Received!F20&lt;=DATE(Settings!$B$3,6,Settings!$B$4),"On time","Late")))</f>
        <v/>
      </c>
      <c r="G20" s="22" t="str">
        <f aca="true">IF(Received!$A20="","",IF(Received!G20="",IF(TODAY()&gt;DATE(Settings!$B$3,7,Settings!$B$4),"Missing",""),IF(Received!G20&lt;=DATE(Settings!$B$3,7,Settings!$B$4),"On time","Late")))</f>
        <v/>
      </c>
      <c r="H20" s="22" t="str">
        <f aca="true">IF(Received!$A20="","",IF(Received!H20="",IF(TODAY()&gt;DATE(Settings!$B$3,8,Settings!$B$4),"Missing",""),IF(Received!H20&lt;=DATE(Settings!$B$3,8,Settings!$B$4),"On time","Late")))</f>
        <v/>
      </c>
      <c r="I20" s="22" t="str">
        <f aca="true">IF(Received!$A20="","",IF(Received!I20="",IF(TODAY()&gt;DATE(Settings!$B$3,9,Settings!$B$4),"Missing",""),IF(Received!I20&lt;=DATE(Settings!$B$3,9,Settings!$B$4),"On time","Late")))</f>
        <v/>
      </c>
      <c r="J20" s="22" t="str">
        <f aca="true">IF(Received!$A20="","",IF(Received!J20="",IF(TODAY()&gt;DATE(Settings!$B$3,10,Settings!$B$4),"Missing",""),IF(Received!J20&lt;=DATE(Settings!$B$3,10,Settings!$B$4),"On time","Late")))</f>
        <v/>
      </c>
      <c r="K20" s="22" t="str">
        <f aca="true">IF(Received!$A20="","",IF(Received!K20="",IF(TODAY()&gt;DATE(Settings!$B$3,11,Settings!$B$4),"Missing",""),IF(Received!K20&lt;=DATE(Settings!$B$3,11,Settings!$B$4),"On time","Late")))</f>
        <v/>
      </c>
      <c r="L20" s="22" t="str">
        <f aca="true">IF(Received!$A20="","",IF(Received!L20="",IF(TODAY()&gt;DATE(Settings!$B$3,12,Settings!$B$4),"Missing",""),IF(Received!L20&lt;=DATE(Settings!$B$3,12,Settings!$B$4),"On time","Late")))</f>
        <v/>
      </c>
      <c r="M20" s="22" t="str">
        <f aca="true">IF(Received!$A20="","",IF(Received!M20="",IF(TODAY()&gt;DATE(Settings!$B$3,13,Settings!$B$4),"Missing",""),IF(Received!M20&lt;=DATE(Settings!$B$3,13,Settings!$B$4),"On time","Late")))</f>
        <v/>
      </c>
    </row>
    <row r="21" customFormat="false" ht="19.5" hidden="false" customHeight="true" outlineLevel="0" collapsed="false">
      <c r="A21" s="22" t="str">
        <f aca="false">IF(Received!A21="","",Received!A21)</f>
        <v/>
      </c>
      <c r="B21" s="22" t="str">
        <f aca="true">IF(Received!$A21="","",IF(Received!B21="",IF(TODAY()&gt;DATE(Settings!$B$3,2,Settings!$B$4),"Missing",""),IF(Received!B21&lt;=DATE(Settings!$B$3,2,Settings!$B$4),"On time","Late")))</f>
        <v/>
      </c>
      <c r="C21" s="22" t="str">
        <f aca="true">IF(Received!$A21="","",IF(Received!C21="",IF(TODAY()&gt;DATE(Settings!$B$3,3,Settings!$B$4),"Missing",""),IF(Received!C21&lt;=DATE(Settings!$B$3,3,Settings!$B$4),"On time","Late")))</f>
        <v/>
      </c>
      <c r="D21" s="22" t="str">
        <f aca="true">IF(Received!$A21="","",IF(Received!D21="",IF(TODAY()&gt;DATE(Settings!$B$3,4,Settings!$B$4),"Missing",""),IF(Received!D21&lt;=DATE(Settings!$B$3,4,Settings!$B$4),"On time","Late")))</f>
        <v/>
      </c>
      <c r="E21" s="22" t="str">
        <f aca="true">IF(Received!$A21="","",IF(Received!E21="",IF(TODAY()&gt;DATE(Settings!$B$3,5,Settings!$B$4),"Missing",""),IF(Received!E21&lt;=DATE(Settings!$B$3,5,Settings!$B$4),"On time","Late")))</f>
        <v/>
      </c>
      <c r="F21" s="22" t="str">
        <f aca="true">IF(Received!$A21="","",IF(Received!F21="",IF(TODAY()&gt;DATE(Settings!$B$3,6,Settings!$B$4),"Missing",""),IF(Received!F21&lt;=DATE(Settings!$B$3,6,Settings!$B$4),"On time","Late")))</f>
        <v/>
      </c>
      <c r="G21" s="22" t="str">
        <f aca="true">IF(Received!$A21="","",IF(Received!G21="",IF(TODAY()&gt;DATE(Settings!$B$3,7,Settings!$B$4),"Missing",""),IF(Received!G21&lt;=DATE(Settings!$B$3,7,Settings!$B$4),"On time","Late")))</f>
        <v/>
      </c>
      <c r="H21" s="22" t="str">
        <f aca="true">IF(Received!$A21="","",IF(Received!H21="",IF(TODAY()&gt;DATE(Settings!$B$3,8,Settings!$B$4),"Missing",""),IF(Received!H21&lt;=DATE(Settings!$B$3,8,Settings!$B$4),"On time","Late")))</f>
        <v/>
      </c>
      <c r="I21" s="22" t="str">
        <f aca="true">IF(Received!$A21="","",IF(Received!I21="",IF(TODAY()&gt;DATE(Settings!$B$3,9,Settings!$B$4),"Missing",""),IF(Received!I21&lt;=DATE(Settings!$B$3,9,Settings!$B$4),"On time","Late")))</f>
        <v/>
      </c>
      <c r="J21" s="22" t="str">
        <f aca="true">IF(Received!$A21="","",IF(Received!J21="",IF(TODAY()&gt;DATE(Settings!$B$3,10,Settings!$B$4),"Missing",""),IF(Received!J21&lt;=DATE(Settings!$B$3,10,Settings!$B$4),"On time","Late")))</f>
        <v/>
      </c>
      <c r="K21" s="22" t="str">
        <f aca="true">IF(Received!$A21="","",IF(Received!K21="",IF(TODAY()&gt;DATE(Settings!$B$3,11,Settings!$B$4),"Missing",""),IF(Received!K21&lt;=DATE(Settings!$B$3,11,Settings!$B$4),"On time","Late")))</f>
        <v/>
      </c>
      <c r="L21" s="22" t="str">
        <f aca="true">IF(Received!$A21="","",IF(Received!L21="",IF(TODAY()&gt;DATE(Settings!$B$3,12,Settings!$B$4),"Missing",""),IF(Received!L21&lt;=DATE(Settings!$B$3,12,Settings!$B$4),"On time","Late")))</f>
        <v/>
      </c>
      <c r="M21" s="22" t="str">
        <f aca="true">IF(Received!$A21="","",IF(Received!M21="",IF(TODAY()&gt;DATE(Settings!$B$3,13,Settings!$B$4),"Missing",""),IF(Received!M21&lt;=DATE(Settings!$B$3,13,Settings!$B$4),"On time","Late")))</f>
        <v/>
      </c>
    </row>
    <row r="22" customFormat="false" ht="19.5" hidden="false" customHeight="true" outlineLevel="0" collapsed="false">
      <c r="A22" s="22" t="str">
        <f aca="false">IF(Received!A22="","",Received!A22)</f>
        <v/>
      </c>
      <c r="B22" s="22" t="str">
        <f aca="true">IF(Received!$A22="","",IF(Received!B22="",IF(TODAY()&gt;DATE(Settings!$B$3,2,Settings!$B$4),"Missing",""),IF(Received!B22&lt;=DATE(Settings!$B$3,2,Settings!$B$4),"On time","Late")))</f>
        <v/>
      </c>
      <c r="C22" s="22" t="str">
        <f aca="true">IF(Received!$A22="","",IF(Received!C22="",IF(TODAY()&gt;DATE(Settings!$B$3,3,Settings!$B$4),"Missing",""),IF(Received!C22&lt;=DATE(Settings!$B$3,3,Settings!$B$4),"On time","Late")))</f>
        <v/>
      </c>
      <c r="D22" s="22" t="str">
        <f aca="true">IF(Received!$A22="","",IF(Received!D22="",IF(TODAY()&gt;DATE(Settings!$B$3,4,Settings!$B$4),"Missing",""),IF(Received!D22&lt;=DATE(Settings!$B$3,4,Settings!$B$4),"On time","Late")))</f>
        <v/>
      </c>
      <c r="E22" s="22" t="str">
        <f aca="true">IF(Received!$A22="","",IF(Received!E22="",IF(TODAY()&gt;DATE(Settings!$B$3,5,Settings!$B$4),"Missing",""),IF(Received!E22&lt;=DATE(Settings!$B$3,5,Settings!$B$4),"On time","Late")))</f>
        <v/>
      </c>
      <c r="F22" s="22" t="str">
        <f aca="true">IF(Received!$A22="","",IF(Received!F22="",IF(TODAY()&gt;DATE(Settings!$B$3,6,Settings!$B$4),"Missing",""),IF(Received!F22&lt;=DATE(Settings!$B$3,6,Settings!$B$4),"On time","Late")))</f>
        <v/>
      </c>
      <c r="G22" s="22" t="str">
        <f aca="true">IF(Received!$A22="","",IF(Received!G22="",IF(TODAY()&gt;DATE(Settings!$B$3,7,Settings!$B$4),"Missing",""),IF(Received!G22&lt;=DATE(Settings!$B$3,7,Settings!$B$4),"On time","Late")))</f>
        <v/>
      </c>
      <c r="H22" s="22" t="str">
        <f aca="true">IF(Received!$A22="","",IF(Received!H22="",IF(TODAY()&gt;DATE(Settings!$B$3,8,Settings!$B$4),"Missing",""),IF(Received!H22&lt;=DATE(Settings!$B$3,8,Settings!$B$4),"On time","Late")))</f>
        <v/>
      </c>
      <c r="I22" s="22" t="str">
        <f aca="true">IF(Received!$A22="","",IF(Received!I22="",IF(TODAY()&gt;DATE(Settings!$B$3,9,Settings!$B$4),"Missing",""),IF(Received!I22&lt;=DATE(Settings!$B$3,9,Settings!$B$4),"On time","Late")))</f>
        <v/>
      </c>
      <c r="J22" s="22" t="str">
        <f aca="true">IF(Received!$A22="","",IF(Received!J22="",IF(TODAY()&gt;DATE(Settings!$B$3,10,Settings!$B$4),"Missing",""),IF(Received!J22&lt;=DATE(Settings!$B$3,10,Settings!$B$4),"On time","Late")))</f>
        <v/>
      </c>
      <c r="K22" s="22" t="str">
        <f aca="true">IF(Received!$A22="","",IF(Received!K22="",IF(TODAY()&gt;DATE(Settings!$B$3,11,Settings!$B$4),"Missing",""),IF(Received!K22&lt;=DATE(Settings!$B$3,11,Settings!$B$4),"On time","Late")))</f>
        <v/>
      </c>
      <c r="L22" s="22" t="str">
        <f aca="true">IF(Received!$A22="","",IF(Received!L22="",IF(TODAY()&gt;DATE(Settings!$B$3,12,Settings!$B$4),"Missing",""),IF(Received!L22&lt;=DATE(Settings!$B$3,12,Settings!$B$4),"On time","Late")))</f>
        <v/>
      </c>
      <c r="M22" s="22" t="str">
        <f aca="true">IF(Received!$A22="","",IF(Received!M22="",IF(TODAY()&gt;DATE(Settings!$B$3,13,Settings!$B$4),"Missing",""),IF(Received!M22&lt;=DATE(Settings!$B$3,13,Settings!$B$4),"On time","Late")))</f>
        <v/>
      </c>
    </row>
    <row r="23" customFormat="false" ht="19.5" hidden="false" customHeight="true" outlineLevel="0" collapsed="false">
      <c r="A23" s="22" t="str">
        <f aca="false">IF(Received!A23="","",Received!A23)</f>
        <v/>
      </c>
      <c r="B23" s="22" t="str">
        <f aca="true">IF(Received!$A23="","",IF(Received!B23="",IF(TODAY()&gt;DATE(Settings!$B$3,2,Settings!$B$4),"Missing",""),IF(Received!B23&lt;=DATE(Settings!$B$3,2,Settings!$B$4),"On time","Late")))</f>
        <v/>
      </c>
      <c r="C23" s="22" t="str">
        <f aca="true">IF(Received!$A23="","",IF(Received!C23="",IF(TODAY()&gt;DATE(Settings!$B$3,3,Settings!$B$4),"Missing",""),IF(Received!C23&lt;=DATE(Settings!$B$3,3,Settings!$B$4),"On time","Late")))</f>
        <v/>
      </c>
      <c r="D23" s="22" t="str">
        <f aca="true">IF(Received!$A23="","",IF(Received!D23="",IF(TODAY()&gt;DATE(Settings!$B$3,4,Settings!$B$4),"Missing",""),IF(Received!D23&lt;=DATE(Settings!$B$3,4,Settings!$B$4),"On time","Late")))</f>
        <v/>
      </c>
      <c r="E23" s="22" t="str">
        <f aca="true">IF(Received!$A23="","",IF(Received!E23="",IF(TODAY()&gt;DATE(Settings!$B$3,5,Settings!$B$4),"Missing",""),IF(Received!E23&lt;=DATE(Settings!$B$3,5,Settings!$B$4),"On time","Late")))</f>
        <v/>
      </c>
      <c r="F23" s="22" t="str">
        <f aca="true">IF(Received!$A23="","",IF(Received!F23="",IF(TODAY()&gt;DATE(Settings!$B$3,6,Settings!$B$4),"Missing",""),IF(Received!F23&lt;=DATE(Settings!$B$3,6,Settings!$B$4),"On time","Late")))</f>
        <v/>
      </c>
      <c r="G23" s="22" t="str">
        <f aca="true">IF(Received!$A23="","",IF(Received!G23="",IF(TODAY()&gt;DATE(Settings!$B$3,7,Settings!$B$4),"Missing",""),IF(Received!G23&lt;=DATE(Settings!$B$3,7,Settings!$B$4),"On time","Late")))</f>
        <v/>
      </c>
      <c r="H23" s="22" t="str">
        <f aca="true">IF(Received!$A23="","",IF(Received!H23="",IF(TODAY()&gt;DATE(Settings!$B$3,8,Settings!$B$4),"Missing",""),IF(Received!H23&lt;=DATE(Settings!$B$3,8,Settings!$B$4),"On time","Late")))</f>
        <v/>
      </c>
      <c r="I23" s="22" t="str">
        <f aca="true">IF(Received!$A23="","",IF(Received!I23="",IF(TODAY()&gt;DATE(Settings!$B$3,9,Settings!$B$4),"Missing",""),IF(Received!I23&lt;=DATE(Settings!$B$3,9,Settings!$B$4),"On time","Late")))</f>
        <v/>
      </c>
      <c r="J23" s="22" t="str">
        <f aca="true">IF(Received!$A23="","",IF(Received!J23="",IF(TODAY()&gt;DATE(Settings!$B$3,10,Settings!$B$4),"Missing",""),IF(Received!J23&lt;=DATE(Settings!$B$3,10,Settings!$B$4),"On time","Late")))</f>
        <v/>
      </c>
      <c r="K23" s="22" t="str">
        <f aca="true">IF(Received!$A23="","",IF(Received!K23="",IF(TODAY()&gt;DATE(Settings!$B$3,11,Settings!$B$4),"Missing",""),IF(Received!K23&lt;=DATE(Settings!$B$3,11,Settings!$B$4),"On time","Late")))</f>
        <v/>
      </c>
      <c r="L23" s="22" t="str">
        <f aca="true">IF(Received!$A23="","",IF(Received!L23="",IF(TODAY()&gt;DATE(Settings!$B$3,12,Settings!$B$4),"Missing",""),IF(Received!L23&lt;=DATE(Settings!$B$3,12,Settings!$B$4),"On time","Late")))</f>
        <v/>
      </c>
      <c r="M23" s="22" t="str">
        <f aca="true">IF(Received!$A23="","",IF(Received!M23="",IF(TODAY()&gt;DATE(Settings!$B$3,13,Settings!$B$4),"Missing",""),IF(Received!M23&lt;=DATE(Settings!$B$3,13,Settings!$B$4),"On time","Late")))</f>
        <v/>
      </c>
    </row>
    <row r="24" customFormat="false" ht="19.5" hidden="false" customHeight="true" outlineLevel="0" collapsed="false">
      <c r="A24" s="22" t="str">
        <f aca="false">IF(Received!A24="","",Received!A24)</f>
        <v/>
      </c>
      <c r="B24" s="22" t="str">
        <f aca="true">IF(Received!$A24="","",IF(Received!B24="",IF(TODAY()&gt;DATE(Settings!$B$3,2,Settings!$B$4),"Missing",""),IF(Received!B24&lt;=DATE(Settings!$B$3,2,Settings!$B$4),"On time","Late")))</f>
        <v/>
      </c>
      <c r="C24" s="22" t="str">
        <f aca="true">IF(Received!$A24="","",IF(Received!C24="",IF(TODAY()&gt;DATE(Settings!$B$3,3,Settings!$B$4),"Missing",""),IF(Received!C24&lt;=DATE(Settings!$B$3,3,Settings!$B$4),"On time","Late")))</f>
        <v/>
      </c>
      <c r="D24" s="22" t="str">
        <f aca="true">IF(Received!$A24="","",IF(Received!D24="",IF(TODAY()&gt;DATE(Settings!$B$3,4,Settings!$B$4),"Missing",""),IF(Received!D24&lt;=DATE(Settings!$B$3,4,Settings!$B$4),"On time","Late")))</f>
        <v/>
      </c>
      <c r="E24" s="22" t="str">
        <f aca="true">IF(Received!$A24="","",IF(Received!E24="",IF(TODAY()&gt;DATE(Settings!$B$3,5,Settings!$B$4),"Missing",""),IF(Received!E24&lt;=DATE(Settings!$B$3,5,Settings!$B$4),"On time","Late")))</f>
        <v/>
      </c>
      <c r="F24" s="22" t="str">
        <f aca="true">IF(Received!$A24="","",IF(Received!F24="",IF(TODAY()&gt;DATE(Settings!$B$3,6,Settings!$B$4),"Missing",""),IF(Received!F24&lt;=DATE(Settings!$B$3,6,Settings!$B$4),"On time","Late")))</f>
        <v/>
      </c>
      <c r="G24" s="22" t="str">
        <f aca="true">IF(Received!$A24="","",IF(Received!G24="",IF(TODAY()&gt;DATE(Settings!$B$3,7,Settings!$B$4),"Missing",""),IF(Received!G24&lt;=DATE(Settings!$B$3,7,Settings!$B$4),"On time","Late")))</f>
        <v/>
      </c>
      <c r="H24" s="22" t="str">
        <f aca="true">IF(Received!$A24="","",IF(Received!H24="",IF(TODAY()&gt;DATE(Settings!$B$3,8,Settings!$B$4),"Missing",""),IF(Received!H24&lt;=DATE(Settings!$B$3,8,Settings!$B$4),"On time","Late")))</f>
        <v/>
      </c>
      <c r="I24" s="22" t="str">
        <f aca="true">IF(Received!$A24="","",IF(Received!I24="",IF(TODAY()&gt;DATE(Settings!$B$3,9,Settings!$B$4),"Missing",""),IF(Received!I24&lt;=DATE(Settings!$B$3,9,Settings!$B$4),"On time","Late")))</f>
        <v/>
      </c>
      <c r="J24" s="22" t="str">
        <f aca="true">IF(Received!$A24="","",IF(Received!J24="",IF(TODAY()&gt;DATE(Settings!$B$3,10,Settings!$B$4),"Missing",""),IF(Received!J24&lt;=DATE(Settings!$B$3,10,Settings!$B$4),"On time","Late")))</f>
        <v/>
      </c>
      <c r="K24" s="22" t="str">
        <f aca="true">IF(Received!$A24="","",IF(Received!K24="",IF(TODAY()&gt;DATE(Settings!$B$3,11,Settings!$B$4),"Missing",""),IF(Received!K24&lt;=DATE(Settings!$B$3,11,Settings!$B$4),"On time","Late")))</f>
        <v/>
      </c>
      <c r="L24" s="22" t="str">
        <f aca="true">IF(Received!$A24="","",IF(Received!L24="",IF(TODAY()&gt;DATE(Settings!$B$3,12,Settings!$B$4),"Missing",""),IF(Received!L24&lt;=DATE(Settings!$B$3,12,Settings!$B$4),"On time","Late")))</f>
        <v/>
      </c>
      <c r="M24" s="22" t="str">
        <f aca="true">IF(Received!$A24="","",IF(Received!M24="",IF(TODAY()&gt;DATE(Settings!$B$3,13,Settings!$B$4),"Missing",""),IF(Received!M24&lt;=DATE(Settings!$B$3,13,Settings!$B$4),"On time","Late")))</f>
        <v/>
      </c>
    </row>
    <row r="25" customFormat="false" ht="19.5" hidden="false" customHeight="true" outlineLevel="0" collapsed="false">
      <c r="A25" s="22" t="str">
        <f aca="false">IF(Received!A25="","",Received!A25)</f>
        <v/>
      </c>
      <c r="B25" s="22" t="str">
        <f aca="true">IF(Received!$A25="","",IF(Received!B25="",IF(TODAY()&gt;DATE(Settings!$B$3,2,Settings!$B$4),"Missing",""),IF(Received!B25&lt;=DATE(Settings!$B$3,2,Settings!$B$4),"On time","Late")))</f>
        <v/>
      </c>
      <c r="C25" s="22" t="str">
        <f aca="true">IF(Received!$A25="","",IF(Received!C25="",IF(TODAY()&gt;DATE(Settings!$B$3,3,Settings!$B$4),"Missing",""),IF(Received!C25&lt;=DATE(Settings!$B$3,3,Settings!$B$4),"On time","Late")))</f>
        <v/>
      </c>
      <c r="D25" s="22" t="str">
        <f aca="true">IF(Received!$A25="","",IF(Received!D25="",IF(TODAY()&gt;DATE(Settings!$B$3,4,Settings!$B$4),"Missing",""),IF(Received!D25&lt;=DATE(Settings!$B$3,4,Settings!$B$4),"On time","Late")))</f>
        <v/>
      </c>
      <c r="E25" s="22" t="str">
        <f aca="true">IF(Received!$A25="","",IF(Received!E25="",IF(TODAY()&gt;DATE(Settings!$B$3,5,Settings!$B$4),"Missing",""),IF(Received!E25&lt;=DATE(Settings!$B$3,5,Settings!$B$4),"On time","Late")))</f>
        <v/>
      </c>
      <c r="F25" s="22" t="str">
        <f aca="true">IF(Received!$A25="","",IF(Received!F25="",IF(TODAY()&gt;DATE(Settings!$B$3,6,Settings!$B$4),"Missing",""),IF(Received!F25&lt;=DATE(Settings!$B$3,6,Settings!$B$4),"On time","Late")))</f>
        <v/>
      </c>
      <c r="G25" s="22" t="str">
        <f aca="true">IF(Received!$A25="","",IF(Received!G25="",IF(TODAY()&gt;DATE(Settings!$B$3,7,Settings!$B$4),"Missing",""),IF(Received!G25&lt;=DATE(Settings!$B$3,7,Settings!$B$4),"On time","Late")))</f>
        <v/>
      </c>
      <c r="H25" s="22" t="str">
        <f aca="true">IF(Received!$A25="","",IF(Received!H25="",IF(TODAY()&gt;DATE(Settings!$B$3,8,Settings!$B$4),"Missing",""),IF(Received!H25&lt;=DATE(Settings!$B$3,8,Settings!$B$4),"On time","Late")))</f>
        <v/>
      </c>
      <c r="I25" s="22" t="str">
        <f aca="true">IF(Received!$A25="","",IF(Received!I25="",IF(TODAY()&gt;DATE(Settings!$B$3,9,Settings!$B$4),"Missing",""),IF(Received!I25&lt;=DATE(Settings!$B$3,9,Settings!$B$4),"On time","Late")))</f>
        <v/>
      </c>
      <c r="J25" s="22" t="str">
        <f aca="true">IF(Received!$A25="","",IF(Received!J25="",IF(TODAY()&gt;DATE(Settings!$B$3,10,Settings!$B$4),"Missing",""),IF(Received!J25&lt;=DATE(Settings!$B$3,10,Settings!$B$4),"On time","Late")))</f>
        <v/>
      </c>
      <c r="K25" s="22" t="str">
        <f aca="true">IF(Received!$A25="","",IF(Received!K25="",IF(TODAY()&gt;DATE(Settings!$B$3,11,Settings!$B$4),"Missing",""),IF(Received!K25&lt;=DATE(Settings!$B$3,11,Settings!$B$4),"On time","Late")))</f>
        <v/>
      </c>
      <c r="L25" s="22" t="str">
        <f aca="true">IF(Received!$A25="","",IF(Received!L25="",IF(TODAY()&gt;DATE(Settings!$B$3,12,Settings!$B$4),"Missing",""),IF(Received!L25&lt;=DATE(Settings!$B$3,12,Settings!$B$4),"On time","Late")))</f>
        <v/>
      </c>
      <c r="M25" s="22" t="str">
        <f aca="true">IF(Received!$A25="","",IF(Received!M25="",IF(TODAY()&gt;DATE(Settings!$B$3,13,Settings!$B$4),"Missing",""),IF(Received!M25&lt;=DATE(Settings!$B$3,13,Settings!$B$4),"On time","Late")))</f>
        <v/>
      </c>
    </row>
    <row r="26" customFormat="false" ht="19.5" hidden="false" customHeight="true" outlineLevel="0" collapsed="false">
      <c r="A26" s="22" t="str">
        <f aca="false">IF(Received!A26="","",Received!A26)</f>
        <v/>
      </c>
      <c r="B26" s="22" t="str">
        <f aca="true">IF(Received!$A26="","",IF(Received!B26="",IF(TODAY()&gt;DATE(Settings!$B$3,2,Settings!$B$4),"Missing",""),IF(Received!B26&lt;=DATE(Settings!$B$3,2,Settings!$B$4),"On time","Late")))</f>
        <v/>
      </c>
      <c r="C26" s="22" t="str">
        <f aca="true">IF(Received!$A26="","",IF(Received!C26="",IF(TODAY()&gt;DATE(Settings!$B$3,3,Settings!$B$4),"Missing",""),IF(Received!C26&lt;=DATE(Settings!$B$3,3,Settings!$B$4),"On time","Late")))</f>
        <v/>
      </c>
      <c r="D26" s="22" t="str">
        <f aca="true">IF(Received!$A26="","",IF(Received!D26="",IF(TODAY()&gt;DATE(Settings!$B$3,4,Settings!$B$4),"Missing",""),IF(Received!D26&lt;=DATE(Settings!$B$3,4,Settings!$B$4),"On time","Late")))</f>
        <v/>
      </c>
      <c r="E26" s="22" t="str">
        <f aca="true">IF(Received!$A26="","",IF(Received!E26="",IF(TODAY()&gt;DATE(Settings!$B$3,5,Settings!$B$4),"Missing",""),IF(Received!E26&lt;=DATE(Settings!$B$3,5,Settings!$B$4),"On time","Late")))</f>
        <v/>
      </c>
      <c r="F26" s="22" t="str">
        <f aca="true">IF(Received!$A26="","",IF(Received!F26="",IF(TODAY()&gt;DATE(Settings!$B$3,6,Settings!$B$4),"Missing",""),IF(Received!F26&lt;=DATE(Settings!$B$3,6,Settings!$B$4),"On time","Late")))</f>
        <v/>
      </c>
      <c r="G26" s="22" t="str">
        <f aca="true">IF(Received!$A26="","",IF(Received!G26="",IF(TODAY()&gt;DATE(Settings!$B$3,7,Settings!$B$4),"Missing",""),IF(Received!G26&lt;=DATE(Settings!$B$3,7,Settings!$B$4),"On time","Late")))</f>
        <v/>
      </c>
      <c r="H26" s="22" t="str">
        <f aca="true">IF(Received!$A26="","",IF(Received!H26="",IF(TODAY()&gt;DATE(Settings!$B$3,8,Settings!$B$4),"Missing",""),IF(Received!H26&lt;=DATE(Settings!$B$3,8,Settings!$B$4),"On time","Late")))</f>
        <v/>
      </c>
      <c r="I26" s="22" t="str">
        <f aca="true">IF(Received!$A26="","",IF(Received!I26="",IF(TODAY()&gt;DATE(Settings!$B$3,9,Settings!$B$4),"Missing",""),IF(Received!I26&lt;=DATE(Settings!$B$3,9,Settings!$B$4),"On time","Late")))</f>
        <v/>
      </c>
      <c r="J26" s="22" t="str">
        <f aca="true">IF(Received!$A26="","",IF(Received!J26="",IF(TODAY()&gt;DATE(Settings!$B$3,10,Settings!$B$4),"Missing",""),IF(Received!J26&lt;=DATE(Settings!$B$3,10,Settings!$B$4),"On time","Late")))</f>
        <v/>
      </c>
      <c r="K26" s="22" t="str">
        <f aca="true">IF(Received!$A26="","",IF(Received!K26="",IF(TODAY()&gt;DATE(Settings!$B$3,11,Settings!$B$4),"Missing",""),IF(Received!K26&lt;=DATE(Settings!$B$3,11,Settings!$B$4),"On time","Late")))</f>
        <v/>
      </c>
      <c r="L26" s="22" t="str">
        <f aca="true">IF(Received!$A26="","",IF(Received!L26="",IF(TODAY()&gt;DATE(Settings!$B$3,12,Settings!$B$4),"Missing",""),IF(Received!L26&lt;=DATE(Settings!$B$3,12,Settings!$B$4),"On time","Late")))</f>
        <v/>
      </c>
      <c r="M26" s="22" t="str">
        <f aca="true">IF(Received!$A26="","",IF(Received!M26="",IF(TODAY()&gt;DATE(Settings!$B$3,13,Settings!$B$4),"Missing",""),IF(Received!M26&lt;=DATE(Settings!$B$3,13,Settings!$B$4),"On time","Late")))</f>
        <v/>
      </c>
    </row>
    <row r="27" customFormat="false" ht="19.5" hidden="false" customHeight="true" outlineLevel="0" collapsed="false">
      <c r="A27" s="22" t="str">
        <f aca="false">IF(Received!A27="","",Received!A27)</f>
        <v/>
      </c>
      <c r="B27" s="22" t="str">
        <f aca="true">IF(Received!$A27="","",IF(Received!B27="",IF(TODAY()&gt;DATE(Settings!$B$3,2,Settings!$B$4),"Missing",""),IF(Received!B27&lt;=DATE(Settings!$B$3,2,Settings!$B$4),"On time","Late")))</f>
        <v/>
      </c>
      <c r="C27" s="22" t="str">
        <f aca="true">IF(Received!$A27="","",IF(Received!C27="",IF(TODAY()&gt;DATE(Settings!$B$3,3,Settings!$B$4),"Missing",""),IF(Received!C27&lt;=DATE(Settings!$B$3,3,Settings!$B$4),"On time","Late")))</f>
        <v/>
      </c>
      <c r="D27" s="22" t="str">
        <f aca="true">IF(Received!$A27="","",IF(Received!D27="",IF(TODAY()&gt;DATE(Settings!$B$3,4,Settings!$B$4),"Missing",""),IF(Received!D27&lt;=DATE(Settings!$B$3,4,Settings!$B$4),"On time","Late")))</f>
        <v/>
      </c>
      <c r="E27" s="22" t="str">
        <f aca="true">IF(Received!$A27="","",IF(Received!E27="",IF(TODAY()&gt;DATE(Settings!$B$3,5,Settings!$B$4),"Missing",""),IF(Received!E27&lt;=DATE(Settings!$B$3,5,Settings!$B$4),"On time","Late")))</f>
        <v/>
      </c>
      <c r="F27" s="22" t="str">
        <f aca="true">IF(Received!$A27="","",IF(Received!F27="",IF(TODAY()&gt;DATE(Settings!$B$3,6,Settings!$B$4),"Missing",""),IF(Received!F27&lt;=DATE(Settings!$B$3,6,Settings!$B$4),"On time","Late")))</f>
        <v/>
      </c>
      <c r="G27" s="22" t="str">
        <f aca="true">IF(Received!$A27="","",IF(Received!G27="",IF(TODAY()&gt;DATE(Settings!$B$3,7,Settings!$B$4),"Missing",""),IF(Received!G27&lt;=DATE(Settings!$B$3,7,Settings!$B$4),"On time","Late")))</f>
        <v/>
      </c>
      <c r="H27" s="22" t="str">
        <f aca="true">IF(Received!$A27="","",IF(Received!H27="",IF(TODAY()&gt;DATE(Settings!$B$3,8,Settings!$B$4),"Missing",""),IF(Received!H27&lt;=DATE(Settings!$B$3,8,Settings!$B$4),"On time","Late")))</f>
        <v/>
      </c>
      <c r="I27" s="22" t="str">
        <f aca="true">IF(Received!$A27="","",IF(Received!I27="",IF(TODAY()&gt;DATE(Settings!$B$3,9,Settings!$B$4),"Missing",""),IF(Received!I27&lt;=DATE(Settings!$B$3,9,Settings!$B$4),"On time","Late")))</f>
        <v/>
      </c>
      <c r="J27" s="22" t="str">
        <f aca="true">IF(Received!$A27="","",IF(Received!J27="",IF(TODAY()&gt;DATE(Settings!$B$3,10,Settings!$B$4),"Missing",""),IF(Received!J27&lt;=DATE(Settings!$B$3,10,Settings!$B$4),"On time","Late")))</f>
        <v/>
      </c>
      <c r="K27" s="22" t="str">
        <f aca="true">IF(Received!$A27="","",IF(Received!K27="",IF(TODAY()&gt;DATE(Settings!$B$3,11,Settings!$B$4),"Missing",""),IF(Received!K27&lt;=DATE(Settings!$B$3,11,Settings!$B$4),"On time","Late")))</f>
        <v/>
      </c>
      <c r="L27" s="22" t="str">
        <f aca="true">IF(Received!$A27="","",IF(Received!L27="",IF(TODAY()&gt;DATE(Settings!$B$3,12,Settings!$B$4),"Missing",""),IF(Received!L27&lt;=DATE(Settings!$B$3,12,Settings!$B$4),"On time","Late")))</f>
        <v/>
      </c>
      <c r="M27" s="22" t="str">
        <f aca="true">IF(Received!$A27="","",IF(Received!M27="",IF(TODAY()&gt;DATE(Settings!$B$3,13,Settings!$B$4),"Missing",""),IF(Received!M27&lt;=DATE(Settings!$B$3,13,Settings!$B$4),"On time","Late")))</f>
        <v/>
      </c>
    </row>
    <row r="28" customFormat="false" ht="19.5" hidden="false" customHeight="true" outlineLevel="0" collapsed="false">
      <c r="A28" s="22" t="str">
        <f aca="false">IF(Received!A28="","",Received!A28)</f>
        <v/>
      </c>
      <c r="B28" s="22" t="str">
        <f aca="true">IF(Received!$A28="","",IF(Received!B28="",IF(TODAY()&gt;DATE(Settings!$B$3,2,Settings!$B$4),"Missing",""),IF(Received!B28&lt;=DATE(Settings!$B$3,2,Settings!$B$4),"On time","Late")))</f>
        <v/>
      </c>
      <c r="C28" s="22" t="str">
        <f aca="true">IF(Received!$A28="","",IF(Received!C28="",IF(TODAY()&gt;DATE(Settings!$B$3,3,Settings!$B$4),"Missing",""),IF(Received!C28&lt;=DATE(Settings!$B$3,3,Settings!$B$4),"On time","Late")))</f>
        <v/>
      </c>
      <c r="D28" s="22" t="str">
        <f aca="true">IF(Received!$A28="","",IF(Received!D28="",IF(TODAY()&gt;DATE(Settings!$B$3,4,Settings!$B$4),"Missing",""),IF(Received!D28&lt;=DATE(Settings!$B$3,4,Settings!$B$4),"On time","Late")))</f>
        <v/>
      </c>
      <c r="E28" s="22" t="str">
        <f aca="true">IF(Received!$A28="","",IF(Received!E28="",IF(TODAY()&gt;DATE(Settings!$B$3,5,Settings!$B$4),"Missing",""),IF(Received!E28&lt;=DATE(Settings!$B$3,5,Settings!$B$4),"On time","Late")))</f>
        <v/>
      </c>
      <c r="F28" s="22" t="str">
        <f aca="true">IF(Received!$A28="","",IF(Received!F28="",IF(TODAY()&gt;DATE(Settings!$B$3,6,Settings!$B$4),"Missing",""),IF(Received!F28&lt;=DATE(Settings!$B$3,6,Settings!$B$4),"On time","Late")))</f>
        <v/>
      </c>
      <c r="G28" s="22" t="str">
        <f aca="true">IF(Received!$A28="","",IF(Received!G28="",IF(TODAY()&gt;DATE(Settings!$B$3,7,Settings!$B$4),"Missing",""),IF(Received!G28&lt;=DATE(Settings!$B$3,7,Settings!$B$4),"On time","Late")))</f>
        <v/>
      </c>
      <c r="H28" s="22" t="str">
        <f aca="true">IF(Received!$A28="","",IF(Received!H28="",IF(TODAY()&gt;DATE(Settings!$B$3,8,Settings!$B$4),"Missing",""),IF(Received!H28&lt;=DATE(Settings!$B$3,8,Settings!$B$4),"On time","Late")))</f>
        <v/>
      </c>
      <c r="I28" s="22" t="str">
        <f aca="true">IF(Received!$A28="","",IF(Received!I28="",IF(TODAY()&gt;DATE(Settings!$B$3,9,Settings!$B$4),"Missing",""),IF(Received!I28&lt;=DATE(Settings!$B$3,9,Settings!$B$4),"On time","Late")))</f>
        <v/>
      </c>
      <c r="J28" s="22" t="str">
        <f aca="true">IF(Received!$A28="","",IF(Received!J28="",IF(TODAY()&gt;DATE(Settings!$B$3,10,Settings!$B$4),"Missing",""),IF(Received!J28&lt;=DATE(Settings!$B$3,10,Settings!$B$4),"On time","Late")))</f>
        <v/>
      </c>
      <c r="K28" s="22" t="str">
        <f aca="true">IF(Received!$A28="","",IF(Received!K28="",IF(TODAY()&gt;DATE(Settings!$B$3,11,Settings!$B$4),"Missing",""),IF(Received!K28&lt;=DATE(Settings!$B$3,11,Settings!$B$4),"On time","Late")))</f>
        <v/>
      </c>
      <c r="L28" s="22" t="str">
        <f aca="true">IF(Received!$A28="","",IF(Received!L28="",IF(TODAY()&gt;DATE(Settings!$B$3,12,Settings!$B$4),"Missing",""),IF(Received!L28&lt;=DATE(Settings!$B$3,12,Settings!$B$4),"On time","Late")))</f>
        <v/>
      </c>
      <c r="M28" s="22" t="str">
        <f aca="true">IF(Received!$A28="","",IF(Received!M28="",IF(TODAY()&gt;DATE(Settings!$B$3,13,Settings!$B$4),"Missing",""),IF(Received!M28&lt;=DATE(Settings!$B$3,13,Settings!$B$4),"On time","Late")))</f>
        <v/>
      </c>
    </row>
    <row r="29" customFormat="false" ht="19.5" hidden="false" customHeight="true" outlineLevel="0" collapsed="false">
      <c r="A29" s="22" t="str">
        <f aca="false">IF(Received!A29="","",Received!A29)</f>
        <v/>
      </c>
      <c r="B29" s="22" t="str">
        <f aca="true">IF(Received!$A29="","",IF(Received!B29="",IF(TODAY()&gt;DATE(Settings!$B$3,2,Settings!$B$4),"Missing",""),IF(Received!B29&lt;=DATE(Settings!$B$3,2,Settings!$B$4),"On time","Late")))</f>
        <v/>
      </c>
      <c r="C29" s="22" t="str">
        <f aca="true">IF(Received!$A29="","",IF(Received!C29="",IF(TODAY()&gt;DATE(Settings!$B$3,3,Settings!$B$4),"Missing",""),IF(Received!C29&lt;=DATE(Settings!$B$3,3,Settings!$B$4),"On time","Late")))</f>
        <v/>
      </c>
      <c r="D29" s="22" t="str">
        <f aca="true">IF(Received!$A29="","",IF(Received!D29="",IF(TODAY()&gt;DATE(Settings!$B$3,4,Settings!$B$4),"Missing",""),IF(Received!D29&lt;=DATE(Settings!$B$3,4,Settings!$B$4),"On time","Late")))</f>
        <v/>
      </c>
      <c r="E29" s="22" t="str">
        <f aca="true">IF(Received!$A29="","",IF(Received!E29="",IF(TODAY()&gt;DATE(Settings!$B$3,5,Settings!$B$4),"Missing",""),IF(Received!E29&lt;=DATE(Settings!$B$3,5,Settings!$B$4),"On time","Late")))</f>
        <v/>
      </c>
      <c r="F29" s="22" t="str">
        <f aca="true">IF(Received!$A29="","",IF(Received!F29="",IF(TODAY()&gt;DATE(Settings!$B$3,6,Settings!$B$4),"Missing",""),IF(Received!F29&lt;=DATE(Settings!$B$3,6,Settings!$B$4),"On time","Late")))</f>
        <v/>
      </c>
      <c r="G29" s="22" t="str">
        <f aca="true">IF(Received!$A29="","",IF(Received!G29="",IF(TODAY()&gt;DATE(Settings!$B$3,7,Settings!$B$4),"Missing",""),IF(Received!G29&lt;=DATE(Settings!$B$3,7,Settings!$B$4),"On time","Late")))</f>
        <v/>
      </c>
      <c r="H29" s="22" t="str">
        <f aca="true">IF(Received!$A29="","",IF(Received!H29="",IF(TODAY()&gt;DATE(Settings!$B$3,8,Settings!$B$4),"Missing",""),IF(Received!H29&lt;=DATE(Settings!$B$3,8,Settings!$B$4),"On time","Late")))</f>
        <v/>
      </c>
      <c r="I29" s="22" t="str">
        <f aca="true">IF(Received!$A29="","",IF(Received!I29="",IF(TODAY()&gt;DATE(Settings!$B$3,9,Settings!$B$4),"Missing",""),IF(Received!I29&lt;=DATE(Settings!$B$3,9,Settings!$B$4),"On time","Late")))</f>
        <v/>
      </c>
      <c r="J29" s="22" t="str">
        <f aca="true">IF(Received!$A29="","",IF(Received!J29="",IF(TODAY()&gt;DATE(Settings!$B$3,10,Settings!$B$4),"Missing",""),IF(Received!J29&lt;=DATE(Settings!$B$3,10,Settings!$B$4),"On time","Late")))</f>
        <v/>
      </c>
      <c r="K29" s="22" t="str">
        <f aca="true">IF(Received!$A29="","",IF(Received!K29="",IF(TODAY()&gt;DATE(Settings!$B$3,11,Settings!$B$4),"Missing",""),IF(Received!K29&lt;=DATE(Settings!$B$3,11,Settings!$B$4),"On time","Late")))</f>
        <v/>
      </c>
      <c r="L29" s="22" t="str">
        <f aca="true">IF(Received!$A29="","",IF(Received!L29="",IF(TODAY()&gt;DATE(Settings!$B$3,12,Settings!$B$4),"Missing",""),IF(Received!L29&lt;=DATE(Settings!$B$3,12,Settings!$B$4),"On time","Late")))</f>
        <v/>
      </c>
      <c r="M29" s="22" t="str">
        <f aca="true">IF(Received!$A29="","",IF(Received!M29="",IF(TODAY()&gt;DATE(Settings!$B$3,13,Settings!$B$4),"Missing",""),IF(Received!M29&lt;=DATE(Settings!$B$3,13,Settings!$B$4),"On time","Late")))</f>
        <v/>
      </c>
    </row>
    <row r="30" customFormat="false" ht="19.5" hidden="false" customHeight="true" outlineLevel="0" collapsed="false">
      <c r="A30" s="22" t="str">
        <f aca="false">IF(Received!A30="","",Received!A30)</f>
        <v/>
      </c>
      <c r="B30" s="22" t="str">
        <f aca="true">IF(Received!$A30="","",IF(Received!B30="",IF(TODAY()&gt;DATE(Settings!$B$3,2,Settings!$B$4),"Missing",""),IF(Received!B30&lt;=DATE(Settings!$B$3,2,Settings!$B$4),"On time","Late")))</f>
        <v/>
      </c>
      <c r="C30" s="22" t="str">
        <f aca="true">IF(Received!$A30="","",IF(Received!C30="",IF(TODAY()&gt;DATE(Settings!$B$3,3,Settings!$B$4),"Missing",""),IF(Received!C30&lt;=DATE(Settings!$B$3,3,Settings!$B$4),"On time","Late")))</f>
        <v/>
      </c>
      <c r="D30" s="22" t="str">
        <f aca="true">IF(Received!$A30="","",IF(Received!D30="",IF(TODAY()&gt;DATE(Settings!$B$3,4,Settings!$B$4),"Missing",""),IF(Received!D30&lt;=DATE(Settings!$B$3,4,Settings!$B$4),"On time","Late")))</f>
        <v/>
      </c>
      <c r="E30" s="22" t="str">
        <f aca="true">IF(Received!$A30="","",IF(Received!E30="",IF(TODAY()&gt;DATE(Settings!$B$3,5,Settings!$B$4),"Missing",""),IF(Received!E30&lt;=DATE(Settings!$B$3,5,Settings!$B$4),"On time","Late")))</f>
        <v/>
      </c>
      <c r="F30" s="22" t="str">
        <f aca="true">IF(Received!$A30="","",IF(Received!F30="",IF(TODAY()&gt;DATE(Settings!$B$3,6,Settings!$B$4),"Missing",""),IF(Received!F30&lt;=DATE(Settings!$B$3,6,Settings!$B$4),"On time","Late")))</f>
        <v/>
      </c>
      <c r="G30" s="22" t="str">
        <f aca="true">IF(Received!$A30="","",IF(Received!G30="",IF(TODAY()&gt;DATE(Settings!$B$3,7,Settings!$B$4),"Missing",""),IF(Received!G30&lt;=DATE(Settings!$B$3,7,Settings!$B$4),"On time","Late")))</f>
        <v/>
      </c>
      <c r="H30" s="22" t="str">
        <f aca="true">IF(Received!$A30="","",IF(Received!H30="",IF(TODAY()&gt;DATE(Settings!$B$3,8,Settings!$B$4),"Missing",""),IF(Received!H30&lt;=DATE(Settings!$B$3,8,Settings!$B$4),"On time","Late")))</f>
        <v/>
      </c>
      <c r="I30" s="22" t="str">
        <f aca="true">IF(Received!$A30="","",IF(Received!I30="",IF(TODAY()&gt;DATE(Settings!$B$3,9,Settings!$B$4),"Missing",""),IF(Received!I30&lt;=DATE(Settings!$B$3,9,Settings!$B$4),"On time","Late")))</f>
        <v/>
      </c>
      <c r="J30" s="22" t="str">
        <f aca="true">IF(Received!$A30="","",IF(Received!J30="",IF(TODAY()&gt;DATE(Settings!$B$3,10,Settings!$B$4),"Missing",""),IF(Received!J30&lt;=DATE(Settings!$B$3,10,Settings!$B$4),"On time","Late")))</f>
        <v/>
      </c>
      <c r="K30" s="22" t="str">
        <f aca="true">IF(Received!$A30="","",IF(Received!K30="",IF(TODAY()&gt;DATE(Settings!$B$3,11,Settings!$B$4),"Missing",""),IF(Received!K30&lt;=DATE(Settings!$B$3,11,Settings!$B$4),"On time","Late")))</f>
        <v/>
      </c>
      <c r="L30" s="22" t="str">
        <f aca="true">IF(Received!$A30="","",IF(Received!L30="",IF(TODAY()&gt;DATE(Settings!$B$3,12,Settings!$B$4),"Missing",""),IF(Received!L30&lt;=DATE(Settings!$B$3,12,Settings!$B$4),"On time","Late")))</f>
        <v/>
      </c>
      <c r="M30" s="22" t="str">
        <f aca="true">IF(Received!$A30="","",IF(Received!M30="",IF(TODAY()&gt;DATE(Settings!$B$3,13,Settings!$B$4),"Missing",""),IF(Received!M30&lt;=DATE(Settings!$B$3,13,Settings!$B$4),"On time","Late")))</f>
        <v/>
      </c>
    </row>
    <row r="31" customFormat="false" ht="19.5" hidden="false" customHeight="true" outlineLevel="0" collapsed="false">
      <c r="A31" s="22" t="str">
        <f aca="false">IF(Received!A31="","",Received!A31)</f>
        <v/>
      </c>
      <c r="B31" s="22" t="str">
        <f aca="true">IF(Received!$A31="","",IF(Received!B31="",IF(TODAY()&gt;DATE(Settings!$B$3,2,Settings!$B$4),"Missing",""),IF(Received!B31&lt;=DATE(Settings!$B$3,2,Settings!$B$4),"On time","Late")))</f>
        <v/>
      </c>
      <c r="C31" s="22" t="str">
        <f aca="true">IF(Received!$A31="","",IF(Received!C31="",IF(TODAY()&gt;DATE(Settings!$B$3,3,Settings!$B$4),"Missing",""),IF(Received!C31&lt;=DATE(Settings!$B$3,3,Settings!$B$4),"On time","Late")))</f>
        <v/>
      </c>
      <c r="D31" s="22" t="str">
        <f aca="true">IF(Received!$A31="","",IF(Received!D31="",IF(TODAY()&gt;DATE(Settings!$B$3,4,Settings!$B$4),"Missing",""),IF(Received!D31&lt;=DATE(Settings!$B$3,4,Settings!$B$4),"On time","Late")))</f>
        <v/>
      </c>
      <c r="E31" s="22" t="str">
        <f aca="true">IF(Received!$A31="","",IF(Received!E31="",IF(TODAY()&gt;DATE(Settings!$B$3,5,Settings!$B$4),"Missing",""),IF(Received!E31&lt;=DATE(Settings!$B$3,5,Settings!$B$4),"On time","Late")))</f>
        <v/>
      </c>
      <c r="F31" s="22" t="str">
        <f aca="true">IF(Received!$A31="","",IF(Received!F31="",IF(TODAY()&gt;DATE(Settings!$B$3,6,Settings!$B$4),"Missing",""),IF(Received!F31&lt;=DATE(Settings!$B$3,6,Settings!$B$4),"On time","Late")))</f>
        <v/>
      </c>
      <c r="G31" s="22" t="str">
        <f aca="true">IF(Received!$A31="","",IF(Received!G31="",IF(TODAY()&gt;DATE(Settings!$B$3,7,Settings!$B$4),"Missing",""),IF(Received!G31&lt;=DATE(Settings!$B$3,7,Settings!$B$4),"On time","Late")))</f>
        <v/>
      </c>
      <c r="H31" s="22" t="str">
        <f aca="true">IF(Received!$A31="","",IF(Received!H31="",IF(TODAY()&gt;DATE(Settings!$B$3,8,Settings!$B$4),"Missing",""),IF(Received!H31&lt;=DATE(Settings!$B$3,8,Settings!$B$4),"On time","Late")))</f>
        <v/>
      </c>
      <c r="I31" s="22" t="str">
        <f aca="true">IF(Received!$A31="","",IF(Received!I31="",IF(TODAY()&gt;DATE(Settings!$B$3,9,Settings!$B$4),"Missing",""),IF(Received!I31&lt;=DATE(Settings!$B$3,9,Settings!$B$4),"On time","Late")))</f>
        <v/>
      </c>
      <c r="J31" s="22" t="str">
        <f aca="true">IF(Received!$A31="","",IF(Received!J31="",IF(TODAY()&gt;DATE(Settings!$B$3,10,Settings!$B$4),"Missing",""),IF(Received!J31&lt;=DATE(Settings!$B$3,10,Settings!$B$4),"On time","Late")))</f>
        <v/>
      </c>
      <c r="K31" s="22" t="str">
        <f aca="true">IF(Received!$A31="","",IF(Received!K31="",IF(TODAY()&gt;DATE(Settings!$B$3,11,Settings!$B$4),"Missing",""),IF(Received!K31&lt;=DATE(Settings!$B$3,11,Settings!$B$4),"On time","Late")))</f>
        <v/>
      </c>
      <c r="L31" s="22" t="str">
        <f aca="true">IF(Received!$A31="","",IF(Received!L31="",IF(TODAY()&gt;DATE(Settings!$B$3,12,Settings!$B$4),"Missing",""),IF(Received!L31&lt;=DATE(Settings!$B$3,12,Settings!$B$4),"On time","Late")))</f>
        <v/>
      </c>
      <c r="M31" s="22" t="str">
        <f aca="true">IF(Received!$A31="","",IF(Received!M31="",IF(TODAY()&gt;DATE(Settings!$B$3,13,Settings!$B$4),"Missing",""),IF(Received!M31&lt;=DATE(Settings!$B$3,13,Settings!$B$4),"On time","Late")))</f>
        <v/>
      </c>
    </row>
    <row r="32" customFormat="false" ht="19.5" hidden="false" customHeight="true" outlineLevel="0" collapsed="false">
      <c r="A32" s="22" t="str">
        <f aca="false">IF(Received!A32="","",Received!A32)</f>
        <v/>
      </c>
      <c r="B32" s="22" t="str">
        <f aca="true">IF(Received!$A32="","",IF(Received!B32="",IF(TODAY()&gt;DATE(Settings!$B$3,2,Settings!$B$4),"Missing",""),IF(Received!B32&lt;=DATE(Settings!$B$3,2,Settings!$B$4),"On time","Late")))</f>
        <v/>
      </c>
      <c r="C32" s="22" t="str">
        <f aca="true">IF(Received!$A32="","",IF(Received!C32="",IF(TODAY()&gt;DATE(Settings!$B$3,3,Settings!$B$4),"Missing",""),IF(Received!C32&lt;=DATE(Settings!$B$3,3,Settings!$B$4),"On time","Late")))</f>
        <v/>
      </c>
      <c r="D32" s="22" t="str">
        <f aca="true">IF(Received!$A32="","",IF(Received!D32="",IF(TODAY()&gt;DATE(Settings!$B$3,4,Settings!$B$4),"Missing",""),IF(Received!D32&lt;=DATE(Settings!$B$3,4,Settings!$B$4),"On time","Late")))</f>
        <v/>
      </c>
      <c r="E32" s="22" t="str">
        <f aca="true">IF(Received!$A32="","",IF(Received!E32="",IF(TODAY()&gt;DATE(Settings!$B$3,5,Settings!$B$4),"Missing",""),IF(Received!E32&lt;=DATE(Settings!$B$3,5,Settings!$B$4),"On time","Late")))</f>
        <v/>
      </c>
      <c r="F32" s="22" t="str">
        <f aca="true">IF(Received!$A32="","",IF(Received!F32="",IF(TODAY()&gt;DATE(Settings!$B$3,6,Settings!$B$4),"Missing",""),IF(Received!F32&lt;=DATE(Settings!$B$3,6,Settings!$B$4),"On time","Late")))</f>
        <v/>
      </c>
      <c r="G32" s="22" t="str">
        <f aca="true">IF(Received!$A32="","",IF(Received!G32="",IF(TODAY()&gt;DATE(Settings!$B$3,7,Settings!$B$4),"Missing",""),IF(Received!G32&lt;=DATE(Settings!$B$3,7,Settings!$B$4),"On time","Late")))</f>
        <v/>
      </c>
      <c r="H32" s="22" t="str">
        <f aca="true">IF(Received!$A32="","",IF(Received!H32="",IF(TODAY()&gt;DATE(Settings!$B$3,8,Settings!$B$4),"Missing",""),IF(Received!H32&lt;=DATE(Settings!$B$3,8,Settings!$B$4),"On time","Late")))</f>
        <v/>
      </c>
      <c r="I32" s="22" t="str">
        <f aca="true">IF(Received!$A32="","",IF(Received!I32="",IF(TODAY()&gt;DATE(Settings!$B$3,9,Settings!$B$4),"Missing",""),IF(Received!I32&lt;=DATE(Settings!$B$3,9,Settings!$B$4),"On time","Late")))</f>
        <v/>
      </c>
      <c r="J32" s="22" t="str">
        <f aca="true">IF(Received!$A32="","",IF(Received!J32="",IF(TODAY()&gt;DATE(Settings!$B$3,10,Settings!$B$4),"Missing",""),IF(Received!J32&lt;=DATE(Settings!$B$3,10,Settings!$B$4),"On time","Late")))</f>
        <v/>
      </c>
      <c r="K32" s="22" t="str">
        <f aca="true">IF(Received!$A32="","",IF(Received!K32="",IF(TODAY()&gt;DATE(Settings!$B$3,11,Settings!$B$4),"Missing",""),IF(Received!K32&lt;=DATE(Settings!$B$3,11,Settings!$B$4),"On time","Late")))</f>
        <v/>
      </c>
      <c r="L32" s="22" t="str">
        <f aca="true">IF(Received!$A32="","",IF(Received!L32="",IF(TODAY()&gt;DATE(Settings!$B$3,12,Settings!$B$4),"Missing",""),IF(Received!L32&lt;=DATE(Settings!$B$3,12,Settings!$B$4),"On time","Late")))</f>
        <v/>
      </c>
      <c r="M32" s="22" t="str">
        <f aca="true">IF(Received!$A32="","",IF(Received!M32="",IF(TODAY()&gt;DATE(Settings!$B$3,13,Settings!$B$4),"Missing",""),IF(Received!M32&lt;=DATE(Settings!$B$3,13,Settings!$B$4),"On time","Late")))</f>
        <v/>
      </c>
    </row>
    <row r="33" customFormat="false" ht="19.5" hidden="false" customHeight="true" outlineLevel="0" collapsed="false">
      <c r="A33" s="22" t="str">
        <f aca="false">IF(Received!A33="","",Received!A33)</f>
        <v/>
      </c>
      <c r="B33" s="22" t="str">
        <f aca="true">IF(Received!$A33="","",IF(Received!B33="",IF(TODAY()&gt;DATE(Settings!$B$3,2,Settings!$B$4),"Missing",""),IF(Received!B33&lt;=DATE(Settings!$B$3,2,Settings!$B$4),"On time","Late")))</f>
        <v/>
      </c>
      <c r="C33" s="22" t="str">
        <f aca="true">IF(Received!$A33="","",IF(Received!C33="",IF(TODAY()&gt;DATE(Settings!$B$3,3,Settings!$B$4),"Missing",""),IF(Received!C33&lt;=DATE(Settings!$B$3,3,Settings!$B$4),"On time","Late")))</f>
        <v/>
      </c>
      <c r="D33" s="22" t="str">
        <f aca="true">IF(Received!$A33="","",IF(Received!D33="",IF(TODAY()&gt;DATE(Settings!$B$3,4,Settings!$B$4),"Missing",""),IF(Received!D33&lt;=DATE(Settings!$B$3,4,Settings!$B$4),"On time","Late")))</f>
        <v/>
      </c>
      <c r="E33" s="22" t="str">
        <f aca="true">IF(Received!$A33="","",IF(Received!E33="",IF(TODAY()&gt;DATE(Settings!$B$3,5,Settings!$B$4),"Missing",""),IF(Received!E33&lt;=DATE(Settings!$B$3,5,Settings!$B$4),"On time","Late")))</f>
        <v/>
      </c>
      <c r="F33" s="22" t="str">
        <f aca="true">IF(Received!$A33="","",IF(Received!F33="",IF(TODAY()&gt;DATE(Settings!$B$3,6,Settings!$B$4),"Missing",""),IF(Received!F33&lt;=DATE(Settings!$B$3,6,Settings!$B$4),"On time","Late")))</f>
        <v/>
      </c>
      <c r="G33" s="22" t="str">
        <f aca="true">IF(Received!$A33="","",IF(Received!G33="",IF(TODAY()&gt;DATE(Settings!$B$3,7,Settings!$B$4),"Missing",""),IF(Received!G33&lt;=DATE(Settings!$B$3,7,Settings!$B$4),"On time","Late")))</f>
        <v/>
      </c>
      <c r="H33" s="22" t="str">
        <f aca="true">IF(Received!$A33="","",IF(Received!H33="",IF(TODAY()&gt;DATE(Settings!$B$3,8,Settings!$B$4),"Missing",""),IF(Received!H33&lt;=DATE(Settings!$B$3,8,Settings!$B$4),"On time","Late")))</f>
        <v/>
      </c>
      <c r="I33" s="22" t="str">
        <f aca="true">IF(Received!$A33="","",IF(Received!I33="",IF(TODAY()&gt;DATE(Settings!$B$3,9,Settings!$B$4),"Missing",""),IF(Received!I33&lt;=DATE(Settings!$B$3,9,Settings!$B$4),"On time","Late")))</f>
        <v/>
      </c>
      <c r="J33" s="22" t="str">
        <f aca="true">IF(Received!$A33="","",IF(Received!J33="",IF(TODAY()&gt;DATE(Settings!$B$3,10,Settings!$B$4),"Missing",""),IF(Received!J33&lt;=DATE(Settings!$B$3,10,Settings!$B$4),"On time","Late")))</f>
        <v/>
      </c>
      <c r="K33" s="22" t="str">
        <f aca="true">IF(Received!$A33="","",IF(Received!K33="",IF(TODAY()&gt;DATE(Settings!$B$3,11,Settings!$B$4),"Missing",""),IF(Received!K33&lt;=DATE(Settings!$B$3,11,Settings!$B$4),"On time","Late")))</f>
        <v/>
      </c>
      <c r="L33" s="22" t="str">
        <f aca="true">IF(Received!$A33="","",IF(Received!L33="",IF(TODAY()&gt;DATE(Settings!$B$3,12,Settings!$B$4),"Missing",""),IF(Received!L33&lt;=DATE(Settings!$B$3,12,Settings!$B$4),"On time","Late")))</f>
        <v/>
      </c>
      <c r="M33" s="22" t="str">
        <f aca="true">IF(Received!$A33="","",IF(Received!M33="",IF(TODAY()&gt;DATE(Settings!$B$3,13,Settings!$B$4),"Missing",""),IF(Received!M33&lt;=DATE(Settings!$B$3,13,Settings!$B$4),"On time","Late")))</f>
        <v/>
      </c>
    </row>
    <row r="34" customFormat="false" ht="19.5" hidden="false" customHeight="true" outlineLevel="0" collapsed="false">
      <c r="A34" s="22" t="str">
        <f aca="false">IF(Received!A34="","",Received!A34)</f>
        <v/>
      </c>
      <c r="B34" s="22" t="str">
        <f aca="true">IF(Received!$A34="","",IF(Received!B34="",IF(TODAY()&gt;DATE(Settings!$B$3,2,Settings!$B$4),"Missing",""),IF(Received!B34&lt;=DATE(Settings!$B$3,2,Settings!$B$4),"On time","Late")))</f>
        <v/>
      </c>
      <c r="C34" s="22" t="str">
        <f aca="true">IF(Received!$A34="","",IF(Received!C34="",IF(TODAY()&gt;DATE(Settings!$B$3,3,Settings!$B$4),"Missing",""),IF(Received!C34&lt;=DATE(Settings!$B$3,3,Settings!$B$4),"On time","Late")))</f>
        <v/>
      </c>
      <c r="D34" s="22" t="str">
        <f aca="true">IF(Received!$A34="","",IF(Received!D34="",IF(TODAY()&gt;DATE(Settings!$B$3,4,Settings!$B$4),"Missing",""),IF(Received!D34&lt;=DATE(Settings!$B$3,4,Settings!$B$4),"On time","Late")))</f>
        <v/>
      </c>
      <c r="E34" s="22" t="str">
        <f aca="true">IF(Received!$A34="","",IF(Received!E34="",IF(TODAY()&gt;DATE(Settings!$B$3,5,Settings!$B$4),"Missing",""),IF(Received!E34&lt;=DATE(Settings!$B$3,5,Settings!$B$4),"On time","Late")))</f>
        <v/>
      </c>
      <c r="F34" s="22" t="str">
        <f aca="true">IF(Received!$A34="","",IF(Received!F34="",IF(TODAY()&gt;DATE(Settings!$B$3,6,Settings!$B$4),"Missing",""),IF(Received!F34&lt;=DATE(Settings!$B$3,6,Settings!$B$4),"On time","Late")))</f>
        <v/>
      </c>
      <c r="G34" s="22" t="str">
        <f aca="true">IF(Received!$A34="","",IF(Received!G34="",IF(TODAY()&gt;DATE(Settings!$B$3,7,Settings!$B$4),"Missing",""),IF(Received!G34&lt;=DATE(Settings!$B$3,7,Settings!$B$4),"On time","Late")))</f>
        <v/>
      </c>
      <c r="H34" s="22" t="str">
        <f aca="true">IF(Received!$A34="","",IF(Received!H34="",IF(TODAY()&gt;DATE(Settings!$B$3,8,Settings!$B$4),"Missing",""),IF(Received!H34&lt;=DATE(Settings!$B$3,8,Settings!$B$4),"On time","Late")))</f>
        <v/>
      </c>
      <c r="I34" s="22" t="str">
        <f aca="true">IF(Received!$A34="","",IF(Received!I34="",IF(TODAY()&gt;DATE(Settings!$B$3,9,Settings!$B$4),"Missing",""),IF(Received!I34&lt;=DATE(Settings!$B$3,9,Settings!$B$4),"On time","Late")))</f>
        <v/>
      </c>
      <c r="J34" s="22" t="str">
        <f aca="true">IF(Received!$A34="","",IF(Received!J34="",IF(TODAY()&gt;DATE(Settings!$B$3,10,Settings!$B$4),"Missing",""),IF(Received!J34&lt;=DATE(Settings!$B$3,10,Settings!$B$4),"On time","Late")))</f>
        <v/>
      </c>
      <c r="K34" s="22" t="str">
        <f aca="true">IF(Received!$A34="","",IF(Received!K34="",IF(TODAY()&gt;DATE(Settings!$B$3,11,Settings!$B$4),"Missing",""),IF(Received!K34&lt;=DATE(Settings!$B$3,11,Settings!$B$4),"On time","Late")))</f>
        <v/>
      </c>
      <c r="L34" s="22" t="str">
        <f aca="true">IF(Received!$A34="","",IF(Received!L34="",IF(TODAY()&gt;DATE(Settings!$B$3,12,Settings!$B$4),"Missing",""),IF(Received!L34&lt;=DATE(Settings!$B$3,12,Settings!$B$4),"On time","Late")))</f>
        <v/>
      </c>
      <c r="M34" s="22" t="str">
        <f aca="true">IF(Received!$A34="","",IF(Received!M34="",IF(TODAY()&gt;DATE(Settings!$B$3,13,Settings!$B$4),"Missing",""),IF(Received!M34&lt;=DATE(Settings!$B$3,13,Settings!$B$4),"On time","Late")))</f>
        <v/>
      </c>
    </row>
  </sheetData>
  <autoFilter ref="A4:M34"/>
  <conditionalFormatting sqref="B5:M34">
    <cfRule type="expression" priority="2" aboveAverage="0" equalAverage="0" bottom="0" percent="0" rank="0" text="" dxfId="9">
      <formula>B5="Missing"</formula>
    </cfRule>
    <cfRule type="expression" priority="3" aboveAverage="0" equalAverage="0" bottom="0" percent="0" rank="0" text="" dxfId="10">
      <formula>B5="Late"</formula>
    </cfRule>
    <cfRule type="expression" priority="4" aboveAverage="0" equalAverage="0" bottom="0" percent="0" rank="0" text="" dxfId="11">
      <formula>B5="On time"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&amp;Lalhajiimehemoh.github.io&amp;RPage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4" t="s">
        <v>39</v>
      </c>
    </row>
    <row r="2" customFormat="false" ht="15" hidden="false" customHeight="false" outlineLevel="0" collapsed="false">
      <c r="A2" s="23" t="s">
        <v>40</v>
      </c>
    </row>
    <row r="4" customFormat="false" ht="15" hidden="false" customHeight="false" outlineLevel="0" collapsed="false">
      <c r="A4" s="24" t="s">
        <v>41</v>
      </c>
      <c r="B4" s="24" t="s">
        <v>42</v>
      </c>
      <c r="C4" s="24" t="s">
        <v>43</v>
      </c>
      <c r="D4" s="24" t="s">
        <v>44</v>
      </c>
      <c r="E4" s="24" t="s">
        <v>45</v>
      </c>
      <c r="F4" s="24" t="s">
        <v>46</v>
      </c>
      <c r="G4" s="24" t="s">
        <v>47</v>
      </c>
      <c r="H4" s="24" t="s">
        <v>48</v>
      </c>
    </row>
    <row r="5" customFormat="false" ht="15" hidden="false" customHeight="false" outlineLevel="0" collapsed="false">
      <c r="A5" s="25" t="s">
        <v>23</v>
      </c>
      <c r="B5" s="26" t="n">
        <f aca="false">COUNTA(Received!$A$5:$A$34)</f>
        <v>3</v>
      </c>
      <c r="C5" s="26" t="n">
        <f aca="false">COUNT(Received!B$5:B$34)</f>
        <v>3</v>
      </c>
      <c r="D5" s="26" t="n">
        <f aca="false">COUNTIF(Status!B$5:B$34,"On time")</f>
        <v>2</v>
      </c>
      <c r="E5" s="26" t="n">
        <f aca="false">COUNTIF(Status!B$5:B$34,"Late")</f>
        <v>1</v>
      </c>
      <c r="F5" s="26" t="n">
        <f aca="false">COUNTIF(Status!B$5:B$34,"Missing")</f>
        <v>0</v>
      </c>
      <c r="G5" s="27" t="n">
        <f aca="true">IF(OR(B5=0,AND(TODAY()&lt;=DATE(Settings!$B$3,2,Settings!$B$4),C5=0)),"",C5/B5)</f>
        <v>1</v>
      </c>
      <c r="H5" s="27" t="n">
        <f aca="false">IF(G5="","",D5/B5)</f>
        <v>0.666666666666667</v>
      </c>
    </row>
    <row r="6" customFormat="false" ht="15" hidden="false" customHeight="false" outlineLevel="0" collapsed="false">
      <c r="A6" s="25" t="s">
        <v>24</v>
      </c>
      <c r="B6" s="26" t="n">
        <f aca="false">COUNTA(Received!$A$5:$A$34)</f>
        <v>3</v>
      </c>
      <c r="C6" s="26" t="n">
        <f aca="false">COUNT(Received!C$5:C$34)</f>
        <v>2</v>
      </c>
      <c r="D6" s="26" t="n">
        <f aca="false">COUNTIF(Status!C$5:C$34,"On time")</f>
        <v>2</v>
      </c>
      <c r="E6" s="26" t="n">
        <f aca="false">COUNTIF(Status!C$5:C$34,"Late")</f>
        <v>0</v>
      </c>
      <c r="F6" s="26" t="n">
        <f aca="false">COUNTIF(Status!C$5:C$34,"Missing")</f>
        <v>1</v>
      </c>
      <c r="G6" s="27" t="n">
        <f aca="true">IF(OR(B6=0,AND(TODAY()&lt;=DATE(Settings!$B$3,3,Settings!$B$4),C6=0)),"",C6/B6)</f>
        <v>0.666666666666667</v>
      </c>
      <c r="H6" s="27" t="n">
        <f aca="false">IF(G6="","",D6/B6)</f>
        <v>0.666666666666667</v>
      </c>
    </row>
    <row r="7" customFormat="false" ht="15" hidden="false" customHeight="false" outlineLevel="0" collapsed="false">
      <c r="A7" s="25" t="s">
        <v>25</v>
      </c>
      <c r="B7" s="26" t="n">
        <f aca="false">COUNTA(Received!$A$5:$A$34)</f>
        <v>3</v>
      </c>
      <c r="C7" s="26" t="n">
        <f aca="false">COUNT(Received!D$5:D$34)</f>
        <v>3</v>
      </c>
      <c r="D7" s="26" t="n">
        <f aca="false">COUNTIF(Status!D$5:D$34,"On time")</f>
        <v>2</v>
      </c>
      <c r="E7" s="26" t="n">
        <f aca="false">COUNTIF(Status!D$5:D$34,"Late")</f>
        <v>1</v>
      </c>
      <c r="F7" s="26" t="n">
        <f aca="false">COUNTIF(Status!D$5:D$34,"Missing")</f>
        <v>0</v>
      </c>
      <c r="G7" s="27" t="n">
        <f aca="true">IF(OR(B7=0,AND(TODAY()&lt;=DATE(Settings!$B$3,4,Settings!$B$4),C7=0)),"",C7/B7)</f>
        <v>1</v>
      </c>
      <c r="H7" s="27" t="n">
        <f aca="false">IF(G7="","",D7/B7)</f>
        <v>0.666666666666667</v>
      </c>
    </row>
    <row r="8" customFormat="false" ht="15" hidden="false" customHeight="false" outlineLevel="0" collapsed="false">
      <c r="A8" s="25" t="s">
        <v>26</v>
      </c>
      <c r="B8" s="26" t="n">
        <f aca="false">COUNTA(Received!$A$5:$A$34)</f>
        <v>3</v>
      </c>
      <c r="C8" s="26" t="n">
        <f aca="false">COUNT(Received!E$5:E$34)</f>
        <v>3</v>
      </c>
      <c r="D8" s="26" t="n">
        <f aca="false">COUNTIF(Status!E$5:E$34,"On time")</f>
        <v>3</v>
      </c>
      <c r="E8" s="26" t="n">
        <f aca="false">COUNTIF(Status!E$5:E$34,"Late")</f>
        <v>0</v>
      </c>
      <c r="F8" s="26" t="n">
        <f aca="false">COUNTIF(Status!E$5:E$34,"Missing")</f>
        <v>0</v>
      </c>
      <c r="G8" s="27" t="n">
        <f aca="true">IF(OR(B8=0,AND(TODAY()&lt;=DATE(Settings!$B$3,5,Settings!$B$4),C8=0)),"",C8/B8)</f>
        <v>1</v>
      </c>
      <c r="H8" s="27" t="n">
        <f aca="false">IF(G8="","",D8/B8)</f>
        <v>1</v>
      </c>
    </row>
    <row r="9" customFormat="false" ht="15" hidden="false" customHeight="false" outlineLevel="0" collapsed="false">
      <c r="A9" s="25" t="s">
        <v>27</v>
      </c>
      <c r="B9" s="26" t="n">
        <f aca="false">COUNTA(Received!$A$5:$A$34)</f>
        <v>3</v>
      </c>
      <c r="C9" s="26" t="n">
        <f aca="false">COUNT(Received!F$5:F$34)</f>
        <v>2</v>
      </c>
      <c r="D9" s="26" t="n">
        <f aca="false">COUNTIF(Status!F$5:F$34,"On time")</f>
        <v>1</v>
      </c>
      <c r="E9" s="26" t="n">
        <f aca="false">COUNTIF(Status!F$5:F$34,"Late")</f>
        <v>1</v>
      </c>
      <c r="F9" s="26" t="n">
        <f aca="false">COUNTIF(Status!F$5:F$34,"Missing")</f>
        <v>1</v>
      </c>
      <c r="G9" s="27" t="n">
        <f aca="true">IF(OR(B9=0,AND(TODAY()&lt;=DATE(Settings!$B$3,6,Settings!$B$4),C9=0)),"",C9/B9)</f>
        <v>0.666666666666667</v>
      </c>
      <c r="H9" s="27" t="n">
        <f aca="false">IF(G9="","",D9/B9)</f>
        <v>0.333333333333333</v>
      </c>
    </row>
    <row r="10" customFormat="false" ht="15" hidden="false" customHeight="false" outlineLevel="0" collapsed="false">
      <c r="A10" s="25" t="s">
        <v>28</v>
      </c>
      <c r="B10" s="26" t="n">
        <f aca="false">COUNTA(Received!$A$5:$A$34)</f>
        <v>3</v>
      </c>
      <c r="C10" s="26" t="n">
        <f aca="false">COUNT(Received!G$5:G$34)</f>
        <v>3</v>
      </c>
      <c r="D10" s="26" t="n">
        <f aca="false">COUNTIF(Status!G$5:G$34,"On time")</f>
        <v>3</v>
      </c>
      <c r="E10" s="26" t="n">
        <f aca="false">COUNTIF(Status!G$5:G$34,"Late")</f>
        <v>0</v>
      </c>
      <c r="F10" s="26" t="n">
        <f aca="false">COUNTIF(Status!G$5:G$34,"Missing")</f>
        <v>0</v>
      </c>
      <c r="G10" s="27" t="n">
        <f aca="true">IF(OR(B10=0,AND(TODAY()&lt;=DATE(Settings!$B$3,7,Settings!$B$4),C10=0)),"",C10/B10)</f>
        <v>1</v>
      </c>
      <c r="H10" s="27" t="n">
        <f aca="false">IF(G10="","",D10/B10)</f>
        <v>1</v>
      </c>
    </row>
    <row r="11" customFormat="false" ht="15" hidden="false" customHeight="false" outlineLevel="0" collapsed="false">
      <c r="A11" s="25" t="s">
        <v>29</v>
      </c>
      <c r="B11" s="26" t="n">
        <f aca="false">COUNTA(Received!$A$5:$A$34)</f>
        <v>3</v>
      </c>
      <c r="C11" s="26" t="n">
        <f aca="false">COUNT(Received!H$5:H$34)</f>
        <v>3</v>
      </c>
      <c r="D11" s="26" t="n">
        <f aca="false">COUNTIF(Status!H$5:H$34,"On time")</f>
        <v>2</v>
      </c>
      <c r="E11" s="26" t="n">
        <f aca="false">COUNTIF(Status!H$5:H$34,"Late")</f>
        <v>1</v>
      </c>
      <c r="F11" s="26" t="n">
        <f aca="false">COUNTIF(Status!H$5:H$34,"Missing")</f>
        <v>0</v>
      </c>
      <c r="G11" s="27" t="n">
        <f aca="true">IF(OR(B11=0,AND(TODAY()&lt;=DATE(Settings!$B$3,8,Settings!$B$4),C11=0)),"",C11/B11)</f>
        <v>1</v>
      </c>
      <c r="H11" s="27" t="n">
        <f aca="false">IF(G11="","",D11/B11)</f>
        <v>0.666666666666667</v>
      </c>
    </row>
    <row r="12" customFormat="false" ht="15" hidden="false" customHeight="false" outlineLevel="0" collapsed="false">
      <c r="A12" s="25" t="s">
        <v>30</v>
      </c>
      <c r="B12" s="26" t="n">
        <f aca="false">COUNTA(Received!$A$5:$A$34)</f>
        <v>3</v>
      </c>
      <c r="C12" s="26" t="n">
        <f aca="false">COUNT(Received!I$5:I$34)</f>
        <v>3</v>
      </c>
      <c r="D12" s="26" t="n">
        <f aca="false">COUNTIF(Status!I$5:I$34,"On time")</f>
        <v>2</v>
      </c>
      <c r="E12" s="26" t="n">
        <f aca="false">COUNTIF(Status!I$5:I$34,"Late")</f>
        <v>1</v>
      </c>
      <c r="F12" s="26" t="n">
        <f aca="false">COUNTIF(Status!I$5:I$34,"Missing")</f>
        <v>0</v>
      </c>
      <c r="G12" s="27" t="n">
        <f aca="true">IF(OR(B12=0,AND(TODAY()&lt;=DATE(Settings!$B$3,9,Settings!$B$4),C12=0)),"",C12/B12)</f>
        <v>1</v>
      </c>
      <c r="H12" s="27" t="n">
        <f aca="false">IF(G12="","",D12/B12)</f>
        <v>0.666666666666667</v>
      </c>
    </row>
    <row r="13" customFormat="false" ht="15" hidden="false" customHeight="false" outlineLevel="0" collapsed="false">
      <c r="A13" s="25" t="s">
        <v>31</v>
      </c>
      <c r="B13" s="26" t="n">
        <f aca="false">COUNTA(Received!$A$5:$A$34)</f>
        <v>3</v>
      </c>
      <c r="C13" s="26" t="n">
        <f aca="false">COUNT(Received!J$5:J$34)</f>
        <v>2</v>
      </c>
      <c r="D13" s="26" t="n">
        <f aca="false">COUNTIF(Status!J$5:J$34,"On time")</f>
        <v>2</v>
      </c>
      <c r="E13" s="26" t="n">
        <f aca="false">COUNTIF(Status!J$5:J$34,"Late")</f>
        <v>0</v>
      </c>
      <c r="F13" s="26" t="n">
        <f aca="false">COUNTIF(Status!J$5:J$34,"Missing")</f>
        <v>1</v>
      </c>
      <c r="G13" s="27" t="n">
        <f aca="true">IF(OR(B13=0,AND(TODAY()&lt;=DATE(Settings!$B$3,10,Settings!$B$4),C13=0)),"",C13/B13)</f>
        <v>0.666666666666667</v>
      </c>
      <c r="H13" s="27" t="n">
        <f aca="false">IF(G13="","",D13/B13)</f>
        <v>0.666666666666667</v>
      </c>
    </row>
    <row r="14" customFormat="false" ht="15" hidden="false" customHeight="false" outlineLevel="0" collapsed="false">
      <c r="A14" s="25" t="s">
        <v>32</v>
      </c>
      <c r="B14" s="26" t="n">
        <f aca="false">COUNTA(Received!$A$5:$A$34)</f>
        <v>3</v>
      </c>
      <c r="C14" s="26" t="n">
        <f aca="false">COUNT(Received!K$5:K$34)</f>
        <v>0</v>
      </c>
      <c r="D14" s="26" t="n">
        <f aca="false">COUNTIF(Status!K$5:K$34,"On time")</f>
        <v>0</v>
      </c>
      <c r="E14" s="26" t="n">
        <f aca="false">COUNTIF(Status!K$5:K$34,"Late")</f>
        <v>0</v>
      </c>
      <c r="F14" s="26" t="n">
        <f aca="false">COUNTIF(Status!K$5:K$34,"Missing")</f>
        <v>0</v>
      </c>
      <c r="G14" s="27" t="str">
        <f aca="true">IF(OR(B14=0,AND(TODAY()&lt;=DATE(Settings!$B$3,11,Settings!$B$4),C14=0)),"",C14/B14)</f>
        <v/>
      </c>
      <c r="H14" s="27" t="str">
        <f aca="false">IF(G14="","",D14/B14)</f>
        <v/>
      </c>
    </row>
    <row r="15" customFormat="false" ht="15" hidden="false" customHeight="false" outlineLevel="0" collapsed="false">
      <c r="A15" s="25" t="s">
        <v>33</v>
      </c>
      <c r="B15" s="26" t="n">
        <f aca="false">COUNTA(Received!$A$5:$A$34)</f>
        <v>3</v>
      </c>
      <c r="C15" s="26" t="n">
        <f aca="false">COUNT(Received!L$5:L$34)</f>
        <v>0</v>
      </c>
      <c r="D15" s="26" t="n">
        <f aca="false">COUNTIF(Status!L$5:L$34,"On time")</f>
        <v>0</v>
      </c>
      <c r="E15" s="26" t="n">
        <f aca="false">COUNTIF(Status!L$5:L$34,"Late")</f>
        <v>0</v>
      </c>
      <c r="F15" s="26" t="n">
        <f aca="false">COUNTIF(Status!L$5:L$34,"Missing")</f>
        <v>0</v>
      </c>
      <c r="G15" s="27" t="str">
        <f aca="true">IF(OR(B15=0,AND(TODAY()&lt;=DATE(Settings!$B$3,12,Settings!$B$4),C15=0)),"",C15/B15)</f>
        <v/>
      </c>
      <c r="H15" s="27" t="str">
        <f aca="false">IF(G15="","",D15/B15)</f>
        <v/>
      </c>
    </row>
    <row r="16" customFormat="false" ht="15" hidden="false" customHeight="false" outlineLevel="0" collapsed="false">
      <c r="A16" s="25" t="s">
        <v>34</v>
      </c>
      <c r="B16" s="26" t="n">
        <f aca="false">COUNTA(Received!$A$5:$A$34)</f>
        <v>3</v>
      </c>
      <c r="C16" s="26" t="n">
        <f aca="false">COUNT(Received!M$5:M$34)</f>
        <v>0</v>
      </c>
      <c r="D16" s="26" t="n">
        <f aca="false">COUNTIF(Status!M$5:M$34,"On time")</f>
        <v>0</v>
      </c>
      <c r="E16" s="26" t="n">
        <f aca="false">COUNTIF(Status!M$5:M$34,"Late")</f>
        <v>0</v>
      </c>
      <c r="F16" s="26" t="n">
        <f aca="false">COUNTIF(Status!M$5:M$34,"Missing")</f>
        <v>0</v>
      </c>
      <c r="G16" s="27" t="str">
        <f aca="true">IF(OR(B16=0,AND(TODAY()&lt;=DATE(Settings!$B$3,13,Settings!$B$4),C16=0)),"",C16/B16)</f>
        <v/>
      </c>
      <c r="H16" s="27" t="str">
        <f aca="false">IF(G16="","",D16/B16)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56"/>
  </cols>
  <sheetData>
    <row r="1" customFormat="false" ht="19.7" hidden="false" customHeight="false" outlineLevel="0" collapsed="false">
      <c r="A1" s="14" t="s">
        <v>49</v>
      </c>
    </row>
    <row r="3" customFormat="false" ht="15" hidden="false" customHeight="false" outlineLevel="0" collapsed="false">
      <c r="A3" s="28" t="s">
        <v>50</v>
      </c>
      <c r="B3" s="29" t="n">
        <v>2026</v>
      </c>
      <c r="C3" s="15" t="s">
        <v>51</v>
      </c>
    </row>
    <row r="4" customFormat="false" ht="15" hidden="false" customHeight="false" outlineLevel="0" collapsed="false">
      <c r="A4" s="28" t="s">
        <v>52</v>
      </c>
      <c r="B4" s="29" t="n">
        <v>5</v>
      </c>
      <c r="C4" s="1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2026-10-22T18:01:18Z</dcterms:created>
  <dc:creator>openpyxl</dc:creator>
  <dc:description/>
  <dc:language>en-US</dc:language>
  <cp:lastModifiedBy/>
  <dcterms:modified xsi:type="dcterms:W3CDTF">2026-10-22T18:01:35Z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