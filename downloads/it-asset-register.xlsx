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Assets" sheetId="2" state="visible" r:id="rId4"/>
  </sheets>
  <definedNames>
    <definedName function="false" hidden="false" localSheetId="1" name="_xlnm.Print_Titles" vbProcedure="false">Assets!$4:$4</definedName>
    <definedName function="false" hidden="true" localSheetId="1" name="_xlnm._FilterDatabase" vbProcedure="false">Assets!$A$4:$M$107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<sst xmlns="http://schemas.openxmlformats.org/spreadsheetml/2006/main" count="59" uniqueCount="51">
  <si>
    <t xml:space="preserve">Alhaji Ibrahim Mehemoh  ·  Free resource</t>
  </si>
  <si>
    <t xml:space="preserve">IT asset register</t>
  </si>
  <si>
    <t xml:space="preserve">One list of every device your office owns, who uses it, where it is and when it needs attention.</t>
  </si>
  <si>
    <t xml:space="preserve">HOW TO USE</t>
  </si>
  <si>
    <t xml:space="preserve">Step 1</t>
  </si>
  <si>
    <t xml:space="preserve">Give each device an asset tag, write it on a sticker on the device and enter it here.</t>
  </si>
  <si>
    <t xml:space="preserve">Step 2</t>
  </si>
  <si>
    <t xml:space="preserve">Record the user by role or office, for example "Finance officer", rather than a full name if you prefer.</t>
  </si>
  <si>
    <t xml:space="preserve">Step 3</t>
  </si>
  <si>
    <t xml:space="preserve">Enter purchase and warranty end dates as dates. Warranty status updates every day by itself.</t>
  </si>
  <si>
    <t xml:space="preserve">Step 4</t>
  </si>
  <si>
    <t xml:space="preserve">After each service, update the Last service date. The next service date is set 6 months later.</t>
  </si>
  <si>
    <t xml:space="preserve">Step 5</t>
  </si>
  <si>
    <t xml:space="preserve">Review the list every quarter and mark lost, retired or disposed devices instead of deleting them.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</si>
  <si>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</si>
  <si>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</si>
  <si>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</si>
  <si>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</si>
  <si>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</si>
  <si>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</si>
  <si>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Type in white cells. Grey cells calculate automatically. See the How to use sheet.</t>
  </si>
  <si>
    <t xml:space="preserve">Asset tag</t>
  </si>
  <si>
    <t xml:space="preserve">Type</t>
  </si>
  <si>
    <t xml:space="preserve">Make and model</t>
  </si>
  <si>
    <t xml:space="preserve">Serial number</t>
  </si>
  <si>
    <t xml:space="preserve">Assigned to (role)</t>
  </si>
  <si>
    <t xml:space="preserve">Location</t>
  </si>
  <si>
    <t xml:space="preserve">Purchase date</t>
  </si>
  <si>
    <t xml:space="preserve">Warranty end</t>
  </si>
  <si>
    <t xml:space="preserve">Warranty status</t>
  </si>
  <si>
    <t xml:space="preserve">Last service</t>
  </si>
  <si>
    <t xml:space="preserve">Next service</t>
  </si>
  <si>
    <t xml:space="preserve">Condition</t>
  </si>
  <si>
    <t xml:space="preserve">Notes</t>
  </si>
  <si>
    <t xml:space="preserve">EX-001</t>
  </si>
  <si>
    <t xml:space="preserve">Laptop</t>
  </si>
  <si>
    <t xml:space="preserve">Example: brand and model</t>
  </si>
  <si>
    <t xml:space="preserve">SN-EXAMPLE1</t>
  </si>
  <si>
    <t xml:space="preserve">Data officer</t>
  </si>
  <si>
    <t xml:space="preserve">Main office</t>
  </si>
  <si>
    <t xml:space="preserve">Good</t>
  </si>
  <si>
    <t xml:space="preserve">Example row</t>
  </si>
  <si>
    <t xml:space="preserve">EX-002</t>
  </si>
  <si>
    <t xml:space="preserve">Printer</t>
  </si>
  <si>
    <t xml:space="preserve">SN-EXAMPLE2</t>
  </si>
  <si>
    <t xml:space="preserve">Shared</t>
  </si>
  <si>
    <t xml:space="preserve">Needs repair</t>
  </si>
  <si>
    <t xml:space="preserve">EX-003</t>
  </si>
  <si>
    <t xml:space="preserve">Router</t>
  </si>
  <si>
    <t xml:space="preserve">SN-EXAMPLE3</t>
  </si>
  <si>
    <t xml:space="preserve">Server corner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</si>
</sst>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0F243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BEBC8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B7A5C"/>
      <rgbColor rgb="FFC0C0C0"/>
      <rgbColor rgb="FF808080"/>
      <rgbColor rgb="FF9999FF"/>
      <rgbColor rgb="FF993366"/>
      <rgbColor rgb="FFFBEBC8"/>
      <rgbColor rgb="FFDDF0E8"/>
      <rgbColor rgb="FF660066"/>
      <rgbColor rgb="FFFF8080"/>
      <rgbColor rgb="FF0066CC"/>
      <rgbColor rgb="FFD3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8"/>
      <c r="C16" s="9" t="s">
        <v>15</v>
      </c>
    </row>
    <row r="17" customFormat="false" ht="15" hidden="false" customHeight="false" outlineLevel="0" collapsed="false">
      <c r="B17" s="10"/>
      <c r="C17" s="9" t="s">
        <v>16</v>
      </c>
    </row>
    <row r="18" customFormat="false" ht="15" hidden="false" customHeight="false" outlineLevel="0" collapsed="false">
      <c r="B18" s="11"/>
      <c r="C18" s="9" t="s">
        <v>17</v>
      </c>
    </row>
    <row r="20" customFormat="false" ht="15" hidden="false" customHeight="false" outlineLevel="0" collapsed="false">
      <c r="B20" s="12" t="s">
        <v>18</v>
      </c>
      <c r="C20" s="12"/>
    </row>
    <row r="22" customFormat="false" ht="15" hidden="false" customHeight="false" outlineLevel="0" collapsed="false">
      <c r="B22" s="13" t="s">
        <v>19</v>
      </c>
      <c r="C22" s="13"/>
    </row>
  </sheetData>
  <mergeCells count="3">
    <mergeCell ref="B6:C6"/>
    <mergeCell ref="B20:C20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24"/>
  </cols>
  <sheetData>
    <row r="1" customFormat="false" ht="25.5" hidden="false" customHeight="true" outlineLevel="0" collapsed="false">
      <c r="A1" s="14" t="s">
        <v>1</v>
      </c>
    </row>
    <row r="2" customFormat="false" ht="15" hidden="false" customHeight="false" outlineLevel="0" collapsed="false">
      <c r="A2" s="15" t="s">
        <v>20</v>
      </c>
    </row>
    <row r="4" customFormat="false" ht="33.75" hidden="false" customHeight="true" outlineLevel="0" collapsed="false">
      <c r="A4" s="16" t="s">
        <v>21</v>
      </c>
      <c r="B4" s="16" t="s">
        <v>22</v>
      </c>
      <c r="C4" s="16" t="s">
        <v>23</v>
      </c>
      <c r="D4" s="16" t="s">
        <v>24</v>
      </c>
      <c r="E4" s="16" t="s">
        <v>25</v>
      </c>
      <c r="F4" s="16" t="s">
        <v>26</v>
      </c>
      <c r="G4" s="16" t="s">
        <v>27</v>
      </c>
      <c r="H4" s="16" t="s">
        <v>28</v>
      </c>
      <c r="I4" s="17" t="s">
        <v>29</v>
      </c>
      <c r="J4" s="16" t="s">
        <v>30</v>
      </c>
      <c r="K4" s="17" t="s">
        <v>31</v>
      </c>
      <c r="L4" s="16" t="s">
        <v>32</v>
      </c>
      <c r="M4" s="16" t="s">
        <v>33</v>
      </c>
    </row>
    <row r="5" customFormat="false" ht="19.5" hidden="false" customHeight="true" outlineLevel="0" collapsed="false">
      <c r="A5" s="18" t="s">
        <v>34</v>
      </c>
      <c r="B5" s="18" t="s">
        <v>35</v>
      </c>
      <c r="C5" s="18" t="s">
        <v>36</v>
      </c>
      <c r="D5" s="18" t="s">
        <v>37</v>
      </c>
      <c r="E5" s="18" t="s">
        <v>38</v>
      </c>
      <c r="F5" s="18" t="s">
        <v>39</v>
      </c>
      <c r="G5" s="19" t="n">
        <v>45717</v>
      </c>
      <c r="H5" s="19" t="n">
        <v>46813</v>
      </c>
      <c r="I5" s="18" t="str">
        <f aca="true">IF(H5="","",IF(H5&lt;TODAY(),"Expired",IF(H5-TODAY()&lt;=60,"Ending soon","Active")))</f>
        <v>Active</v>
      </c>
      <c r="J5" s="19" t="n">
        <v>46174</v>
      </c>
      <c r="K5" s="19" t="n">
        <f aca="false">IF(J5="","",EDATE(J5,6))</f>
        <v>46357</v>
      </c>
      <c r="L5" s="18" t="s">
        <v>40</v>
      </c>
      <c r="M5" s="18" t="s">
        <v>41</v>
      </c>
    </row>
    <row r="6" customFormat="false" ht="19.5" hidden="false" customHeight="true" outlineLevel="0" collapsed="false">
      <c r="A6" s="18" t="s">
        <v>42</v>
      </c>
      <c r="B6" s="18" t="s">
        <v>43</v>
      </c>
      <c r="C6" s="18" t="s">
        <v>36</v>
      </c>
      <c r="D6" s="18" t="s">
        <v>44</v>
      </c>
      <c r="E6" s="18" t="s">
        <v>45</v>
      </c>
      <c r="F6" s="18" t="s">
        <v>39</v>
      </c>
      <c r="G6" s="19" t="n">
        <v>44691</v>
      </c>
      <c r="H6" s="19" t="n">
        <v>45422</v>
      </c>
      <c r="I6" s="18" t="str">
        <f aca="true">IF(H6="","",IF(H6&lt;TODAY(),"Expired",IF(H6-TODAY()&lt;=60,"Ending soon","Active")))</f>
        <v>Expired</v>
      </c>
      <c r="J6" s="19" t="n">
        <v>46054</v>
      </c>
      <c r="K6" s="19" t="n">
        <f aca="false">IF(J6="","",EDATE(J6,6))</f>
        <v>46235</v>
      </c>
      <c r="L6" s="18" t="s">
        <v>46</v>
      </c>
      <c r="M6" s="18" t="s">
        <v>41</v>
      </c>
    </row>
    <row r="7" customFormat="false" ht="19.5" hidden="false" customHeight="true" outlineLevel="0" collapsed="false">
      <c r="A7" s="18" t="s">
        <v>47</v>
      </c>
      <c r="B7" s="18" t="s">
        <v>48</v>
      </c>
      <c r="C7" s="18" t="s">
        <v>36</v>
      </c>
      <c r="D7" s="18" t="s">
        <v>49</v>
      </c>
      <c r="E7" s="18" t="s">
        <v>45</v>
      </c>
      <c r="F7" s="18" t="s">
        <v>50</v>
      </c>
      <c r="G7" s="19" t="n">
        <v>45616</v>
      </c>
      <c r="H7" s="19"/>
      <c r="I7" s="18" t="str">
        <f aca="true">IF(H7="","",IF(H7&lt;TODAY(),"Expired",IF(H7-TODAY()&lt;=60,"Ending soon","Active")))</f>
        <v/>
      </c>
      <c r="J7" s="19" t="n">
        <v>46280</v>
      </c>
      <c r="K7" s="19" t="n">
        <f aca="false">IF(J7="","",EDATE(J7,6))</f>
        <v>46461</v>
      </c>
      <c r="L7" s="18" t="s">
        <v>40</v>
      </c>
      <c r="M7" s="18" t="s">
        <v>41</v>
      </c>
    </row>
    <row r="8" customFormat="false" ht="19.5" hidden="false" customHeight="true" outlineLevel="0" collapsed="false">
      <c r="A8" s="20"/>
      <c r="B8" s="20"/>
      <c r="C8" s="20"/>
      <c r="D8" s="20"/>
      <c r="E8" s="20"/>
      <c r="F8" s="20"/>
      <c r="G8" s="21"/>
      <c r="H8" s="21"/>
      <c r="I8" s="22" t="str">
        <f aca="true">IF(H8="","",IF(H8&lt;TODAY(),"Expired",IF(H8-TODAY()&lt;=60,"Ending soon","Active")))</f>
        <v/>
      </c>
      <c r="J8" s="21"/>
      <c r="K8" s="23" t="str">
        <f aca="false">IF(J8="","",EDATE(J8,6))</f>
        <v/>
      </c>
      <c r="L8" s="20"/>
      <c r="M8" s="20"/>
    </row>
    <row r="9" customFormat="false" ht="19.5" hidden="false" customHeight="true" outlineLevel="0" collapsed="false">
      <c r="A9" s="20"/>
      <c r="B9" s="20"/>
      <c r="C9" s="20"/>
      <c r="D9" s="20"/>
      <c r="E9" s="20"/>
      <c r="F9" s="20"/>
      <c r="G9" s="21"/>
      <c r="H9" s="21"/>
      <c r="I9" s="22" t="str">
        <f aca="true">IF(H9="","",IF(H9&lt;TODAY(),"Expired",IF(H9-TODAY()&lt;=60,"Ending soon","Active")))</f>
        <v/>
      </c>
      <c r="J9" s="21"/>
      <c r="K9" s="23" t="str">
        <f aca="false">IF(J9="","",EDATE(J9,6))</f>
        <v/>
      </c>
      <c r="L9" s="20"/>
      <c r="M9" s="20"/>
    </row>
    <row r="10" customFormat="false" ht="19.5" hidden="false" customHeight="true" outlineLevel="0" collapsed="false">
      <c r="A10" s="20"/>
      <c r="B10" s="20"/>
      <c r="C10" s="20"/>
      <c r="D10" s="20"/>
      <c r="E10" s="20"/>
      <c r="F10" s="20"/>
      <c r="G10" s="21"/>
      <c r="H10" s="21"/>
      <c r="I10" s="22" t="str">
        <f aca="true">IF(H10="","",IF(H10&lt;TODAY(),"Expired",IF(H10-TODAY()&lt;=60,"Ending soon","Active")))</f>
        <v/>
      </c>
      <c r="J10" s="21"/>
      <c r="K10" s="23" t="str">
        <f aca="false">IF(J10="","",EDATE(J10,6))</f>
        <v/>
      </c>
      <c r="L10" s="20"/>
      <c r="M10" s="20"/>
    </row>
    <row r="11" customFormat="false" ht="19.5" hidden="false" customHeight="true" outlineLevel="0" collapsed="false">
      <c r="A11" s="20"/>
      <c r="B11" s="20"/>
      <c r="C11" s="20"/>
      <c r="D11" s="20"/>
      <c r="E11" s="20"/>
      <c r="F11" s="20"/>
      <c r="G11" s="21"/>
      <c r="H11" s="21"/>
      <c r="I11" s="22" t="str">
        <f aca="true">IF(H11="","",IF(H11&lt;TODAY(),"Expired",IF(H11-TODAY()&lt;=60,"Ending soon","Active")))</f>
        <v/>
      </c>
      <c r="J11" s="21"/>
      <c r="K11" s="23" t="str">
        <f aca="false">IF(J11="","",EDATE(J11,6))</f>
        <v/>
      </c>
      <c r="L11" s="20"/>
      <c r="M11" s="20"/>
    </row>
    <row r="12" customFormat="false" ht="19.5" hidden="false" customHeight="true" outlineLevel="0" collapsed="false">
      <c r="A12" s="20"/>
      <c r="B12" s="20"/>
      <c r="C12" s="20"/>
      <c r="D12" s="20"/>
      <c r="E12" s="20"/>
      <c r="F12" s="20"/>
      <c r="G12" s="21"/>
      <c r="H12" s="21"/>
      <c r="I12" s="22" t="str">
        <f aca="true">IF(H12="","",IF(H12&lt;TODAY(),"Expired",IF(H12-TODAY()&lt;=60,"Ending soon","Active")))</f>
        <v/>
      </c>
      <c r="J12" s="21"/>
      <c r="K12" s="23" t="str">
        <f aca="false">IF(J12="","",EDATE(J12,6))</f>
        <v/>
      </c>
      <c r="L12" s="20"/>
      <c r="M12" s="20"/>
    </row>
    <row r="13" customFormat="false" ht="19.5" hidden="false" customHeight="true" outlineLevel="0" collapsed="false">
      <c r="A13" s="20"/>
      <c r="B13" s="20"/>
      <c r="C13" s="20"/>
      <c r="D13" s="20"/>
      <c r="E13" s="20"/>
      <c r="F13" s="20"/>
      <c r="G13" s="21"/>
      <c r="H13" s="21"/>
      <c r="I13" s="22" t="str">
        <f aca="true">IF(H13="","",IF(H13&lt;TODAY(),"Expired",IF(H13-TODAY()&lt;=60,"Ending soon","Active")))</f>
        <v/>
      </c>
      <c r="J13" s="21"/>
      <c r="K13" s="23" t="str">
        <f aca="false">IF(J13="","",EDATE(J13,6))</f>
        <v/>
      </c>
      <c r="L13" s="20"/>
      <c r="M13" s="20"/>
    </row>
    <row r="14" customFormat="false" ht="19.5" hidden="false" customHeight="true" outlineLevel="0" collapsed="false">
      <c r="A14" s="20"/>
      <c r="B14" s="20"/>
      <c r="C14" s="20"/>
      <c r="D14" s="20"/>
      <c r="E14" s="20"/>
      <c r="F14" s="20"/>
      <c r="G14" s="21"/>
      <c r="H14" s="21"/>
      <c r="I14" s="22" t="str">
        <f aca="true">IF(H14="","",IF(H14&lt;TODAY(),"Expired",IF(H14-TODAY()&lt;=60,"Ending soon","Active")))</f>
        <v/>
      </c>
      <c r="J14" s="21"/>
      <c r="K14" s="23" t="str">
        <f aca="false">IF(J14="","",EDATE(J14,6))</f>
        <v/>
      </c>
      <c r="L14" s="20"/>
      <c r="M14" s="20"/>
    </row>
    <row r="15" customFormat="false" ht="19.5" hidden="false" customHeight="true" outlineLevel="0" collapsed="false">
      <c r="A15" s="20"/>
      <c r="B15" s="20"/>
      <c r="C15" s="20"/>
      <c r="D15" s="20"/>
      <c r="E15" s="20"/>
      <c r="F15" s="20"/>
      <c r="G15" s="21"/>
      <c r="H15" s="21"/>
      <c r="I15" s="22" t="str">
        <f aca="true">IF(H15="","",IF(H15&lt;TODAY(),"Expired",IF(H15-TODAY()&lt;=60,"Ending soon","Active")))</f>
        <v/>
      </c>
      <c r="J15" s="21"/>
      <c r="K15" s="23" t="str">
        <f aca="false">IF(J15="","",EDATE(J15,6))</f>
        <v/>
      </c>
      <c r="L15" s="20"/>
      <c r="M15" s="20"/>
    </row>
    <row r="16" customFormat="false" ht="19.5" hidden="false" customHeight="true" outlineLevel="0" collapsed="false">
      <c r="A16" s="20"/>
      <c r="B16" s="20"/>
      <c r="C16" s="20"/>
      <c r="D16" s="20"/>
      <c r="E16" s="20"/>
      <c r="F16" s="20"/>
      <c r="G16" s="21"/>
      <c r="H16" s="21"/>
      <c r="I16" s="22" t="str">
        <f aca="true">IF(H16="","",IF(H16&lt;TODAY(),"Expired",IF(H16-TODAY()&lt;=60,"Ending soon","Active")))</f>
        <v/>
      </c>
      <c r="J16" s="21"/>
      <c r="K16" s="23" t="str">
        <f aca="false">IF(J16="","",EDATE(J16,6))</f>
        <v/>
      </c>
      <c r="L16" s="20"/>
      <c r="M16" s="20"/>
    </row>
    <row r="17" customFormat="false" ht="19.5" hidden="false" customHeight="true" outlineLevel="0" collapsed="false">
      <c r="A17" s="20"/>
      <c r="B17" s="20"/>
      <c r="C17" s="20"/>
      <c r="D17" s="20"/>
      <c r="E17" s="20"/>
      <c r="F17" s="20"/>
      <c r="G17" s="21"/>
      <c r="H17" s="21"/>
      <c r="I17" s="22" t="str">
        <f aca="true">IF(H17="","",IF(H17&lt;TODAY(),"Expired",IF(H17-TODAY()&lt;=60,"Ending soon","Active")))</f>
        <v/>
      </c>
      <c r="J17" s="21"/>
      <c r="K17" s="23" t="str">
        <f aca="false">IF(J17="","",EDATE(J17,6))</f>
        <v/>
      </c>
      <c r="L17" s="20"/>
      <c r="M17" s="20"/>
    </row>
    <row r="18" customFormat="false" ht="19.5" hidden="false" customHeight="true" outlineLevel="0" collapsed="false">
      <c r="A18" s="20"/>
      <c r="B18" s="20"/>
      <c r="C18" s="20"/>
      <c r="D18" s="20"/>
      <c r="E18" s="20"/>
      <c r="F18" s="20"/>
      <c r="G18" s="21"/>
      <c r="H18" s="21"/>
      <c r="I18" s="22" t="str">
        <f aca="true">IF(H18="","",IF(H18&lt;TODAY(),"Expired",IF(H18-TODAY()&lt;=60,"Ending soon","Active")))</f>
        <v/>
      </c>
      <c r="J18" s="21"/>
      <c r="K18" s="23" t="str">
        <f aca="false">IF(J18="","",EDATE(J18,6))</f>
        <v/>
      </c>
      <c r="L18" s="20"/>
      <c r="M18" s="20"/>
    </row>
    <row r="19" customFormat="false" ht="19.5" hidden="false" customHeight="true" outlineLevel="0" collapsed="false">
      <c r="A19" s="20"/>
      <c r="B19" s="20"/>
      <c r="C19" s="20"/>
      <c r="D19" s="20"/>
      <c r="E19" s="20"/>
      <c r="F19" s="20"/>
      <c r="G19" s="21"/>
      <c r="H19" s="21"/>
      <c r="I19" s="22" t="str">
        <f aca="true">IF(H19="","",IF(H19&lt;TODAY(),"Expired",IF(H19-TODAY()&lt;=60,"Ending soon","Active")))</f>
        <v/>
      </c>
      <c r="J19" s="21"/>
      <c r="K19" s="23" t="str">
        <f aca="false">IF(J19="","",EDATE(J19,6))</f>
        <v/>
      </c>
      <c r="L19" s="20"/>
      <c r="M19" s="20"/>
    </row>
    <row r="20" customFormat="false" ht="19.5" hidden="false" customHeight="true" outlineLevel="0" collapsed="false">
      <c r="A20" s="20"/>
      <c r="B20" s="20"/>
      <c r="C20" s="20"/>
      <c r="D20" s="20"/>
      <c r="E20" s="20"/>
      <c r="F20" s="20"/>
      <c r="G20" s="21"/>
      <c r="H20" s="21"/>
      <c r="I20" s="22" t="str">
        <f aca="true">IF(H20="","",IF(H20&lt;TODAY(),"Expired",IF(H20-TODAY()&lt;=60,"Ending soon","Active")))</f>
        <v/>
      </c>
      <c r="J20" s="21"/>
      <c r="K20" s="23" t="str">
        <f aca="false">IF(J20="","",EDATE(J20,6))</f>
        <v/>
      </c>
      <c r="L20" s="20"/>
      <c r="M20" s="20"/>
    </row>
    <row r="21" customFormat="false" ht="19.5" hidden="false" customHeight="true" outlineLevel="0" collapsed="false">
      <c r="A21" s="20"/>
      <c r="B21" s="20"/>
      <c r="C21" s="20"/>
      <c r="D21" s="20"/>
      <c r="E21" s="20"/>
      <c r="F21" s="20"/>
      <c r="G21" s="21"/>
      <c r="H21" s="21"/>
      <c r="I21" s="22" t="str">
        <f aca="true">IF(H21="","",IF(H21&lt;TODAY(),"Expired",IF(H21-TODAY()&lt;=60,"Ending soon","Active")))</f>
        <v/>
      </c>
      <c r="J21" s="21"/>
      <c r="K21" s="23" t="str">
        <f aca="false">IF(J21="","",EDATE(J21,6))</f>
        <v/>
      </c>
      <c r="L21" s="20"/>
      <c r="M21" s="20"/>
    </row>
    <row r="22" customFormat="false" ht="19.5" hidden="false" customHeight="true" outlineLevel="0" collapsed="false">
      <c r="A22" s="20"/>
      <c r="B22" s="20"/>
      <c r="C22" s="20"/>
      <c r="D22" s="20"/>
      <c r="E22" s="20"/>
      <c r="F22" s="20"/>
      <c r="G22" s="21"/>
      <c r="H22" s="21"/>
      <c r="I22" s="22" t="str">
        <f aca="true">IF(H22="","",IF(H22&lt;TODAY(),"Expired",IF(H22-TODAY()&lt;=60,"Ending soon","Active")))</f>
        <v/>
      </c>
      <c r="J22" s="21"/>
      <c r="K22" s="23" t="str">
        <f aca="false">IF(J22="","",EDATE(J22,6))</f>
        <v/>
      </c>
      <c r="L22" s="20"/>
      <c r="M22" s="20"/>
    </row>
    <row r="23" customFormat="false" ht="19.5" hidden="false" customHeight="true" outlineLevel="0" collapsed="false">
      <c r="A23" s="20"/>
      <c r="B23" s="20"/>
      <c r="C23" s="20"/>
      <c r="D23" s="20"/>
      <c r="E23" s="20"/>
      <c r="F23" s="20"/>
      <c r="G23" s="21"/>
      <c r="H23" s="21"/>
      <c r="I23" s="22" t="str">
        <f aca="true">IF(H23="","",IF(H23&lt;TODAY(),"Expired",IF(H23-TODAY()&lt;=60,"Ending soon","Active")))</f>
        <v/>
      </c>
      <c r="J23" s="21"/>
      <c r="K23" s="23" t="str">
        <f aca="false">IF(J23="","",EDATE(J23,6))</f>
        <v/>
      </c>
      <c r="L23" s="20"/>
      <c r="M23" s="20"/>
    </row>
    <row r="24" customFormat="false" ht="19.5" hidden="false" customHeight="true" outlineLevel="0" collapsed="false">
      <c r="A24" s="20"/>
      <c r="B24" s="20"/>
      <c r="C24" s="20"/>
      <c r="D24" s="20"/>
      <c r="E24" s="20"/>
      <c r="F24" s="20"/>
      <c r="G24" s="21"/>
      <c r="H24" s="21"/>
      <c r="I24" s="22" t="str">
        <f aca="true">IF(H24="","",IF(H24&lt;TODAY(),"Expired",IF(H24-TODAY()&lt;=60,"Ending soon","Active")))</f>
        <v/>
      </c>
      <c r="J24" s="21"/>
      <c r="K24" s="23" t="str">
        <f aca="false">IF(J24="","",EDATE(J24,6))</f>
        <v/>
      </c>
      <c r="L24" s="20"/>
      <c r="M24" s="20"/>
    </row>
    <row r="25" customFormat="false" ht="19.5" hidden="false" customHeight="true" outlineLevel="0" collapsed="false">
      <c r="A25" s="20"/>
      <c r="B25" s="20"/>
      <c r="C25" s="20"/>
      <c r="D25" s="20"/>
      <c r="E25" s="20"/>
      <c r="F25" s="20"/>
      <c r="G25" s="21"/>
      <c r="H25" s="21"/>
      <c r="I25" s="22" t="str">
        <f aca="true">IF(H25="","",IF(H25&lt;TODAY(),"Expired",IF(H25-TODAY()&lt;=60,"Ending soon","Active")))</f>
        <v/>
      </c>
      <c r="J25" s="21"/>
      <c r="K25" s="23" t="str">
        <f aca="false">IF(J25="","",EDATE(J25,6))</f>
        <v/>
      </c>
      <c r="L25" s="20"/>
      <c r="M25" s="20"/>
    </row>
    <row r="26" customFormat="false" ht="19.5" hidden="false" customHeight="true" outlineLevel="0" collapsed="false">
      <c r="A26" s="20"/>
      <c r="B26" s="20"/>
      <c r="C26" s="20"/>
      <c r="D26" s="20"/>
      <c r="E26" s="20"/>
      <c r="F26" s="20"/>
      <c r="G26" s="21"/>
      <c r="H26" s="21"/>
      <c r="I26" s="22" t="str">
        <f aca="true">IF(H26="","",IF(H26&lt;TODAY(),"Expired",IF(H26-TODAY()&lt;=60,"Ending soon","Active")))</f>
        <v/>
      </c>
      <c r="J26" s="21"/>
      <c r="K26" s="23" t="str">
        <f aca="false">IF(J26="","",EDATE(J26,6))</f>
        <v/>
      </c>
      <c r="L26" s="20"/>
      <c r="M26" s="20"/>
    </row>
    <row r="27" customFormat="false" ht="19.5" hidden="false" customHeight="true" outlineLevel="0" collapsed="false">
      <c r="A27" s="20"/>
      <c r="B27" s="20"/>
      <c r="C27" s="20"/>
      <c r="D27" s="20"/>
      <c r="E27" s="20"/>
      <c r="F27" s="20"/>
      <c r="G27" s="21"/>
      <c r="H27" s="21"/>
      <c r="I27" s="22" t="str">
        <f aca="true">IF(H27="","",IF(H27&lt;TODAY(),"Expired",IF(H27-TODAY()&lt;=60,"Ending soon","Active")))</f>
        <v/>
      </c>
      <c r="J27" s="21"/>
      <c r="K27" s="23" t="str">
        <f aca="false">IF(J27="","",EDATE(J27,6))</f>
        <v/>
      </c>
      <c r="L27" s="20"/>
      <c r="M27" s="20"/>
    </row>
    <row r="28" customFormat="false" ht="19.5" hidden="false" customHeight="true" outlineLevel="0" collapsed="false">
      <c r="A28" s="20"/>
      <c r="B28" s="20"/>
      <c r="C28" s="20"/>
      <c r="D28" s="20"/>
      <c r="E28" s="20"/>
      <c r="F28" s="20"/>
      <c r="G28" s="21"/>
      <c r="H28" s="21"/>
      <c r="I28" s="22" t="str">
        <f aca="true">IF(H28="","",IF(H28&lt;TODAY(),"Expired",IF(H28-TODAY()&lt;=60,"Ending soon","Active")))</f>
        <v/>
      </c>
      <c r="J28" s="21"/>
      <c r="K28" s="23" t="str">
        <f aca="false">IF(J28="","",EDATE(J28,6))</f>
        <v/>
      </c>
      <c r="L28" s="20"/>
      <c r="M28" s="20"/>
    </row>
    <row r="29" customFormat="false" ht="19.5" hidden="false" customHeight="true" outlineLevel="0" collapsed="false">
      <c r="A29" s="20"/>
      <c r="B29" s="20"/>
      <c r="C29" s="20"/>
      <c r="D29" s="20"/>
      <c r="E29" s="20"/>
      <c r="F29" s="20"/>
      <c r="G29" s="21"/>
      <c r="H29" s="21"/>
      <c r="I29" s="22" t="str">
        <f aca="true">IF(H29="","",IF(H29&lt;TODAY(),"Expired",IF(H29-TODAY()&lt;=60,"Ending soon","Active")))</f>
        <v/>
      </c>
      <c r="J29" s="21"/>
      <c r="K29" s="23" t="str">
        <f aca="false">IF(J29="","",EDATE(J29,6))</f>
        <v/>
      </c>
      <c r="L29" s="20"/>
      <c r="M29" s="20"/>
    </row>
    <row r="30" customFormat="false" ht="19.5" hidden="false" customHeight="true" outlineLevel="0" collapsed="false">
      <c r="A30" s="20"/>
      <c r="B30" s="20"/>
      <c r="C30" s="20"/>
      <c r="D30" s="20"/>
      <c r="E30" s="20"/>
      <c r="F30" s="20"/>
      <c r="G30" s="21"/>
      <c r="H30" s="21"/>
      <c r="I30" s="22" t="str">
        <f aca="true">IF(H30="","",IF(H30&lt;TODAY(),"Expired",IF(H30-TODAY()&lt;=60,"Ending soon","Active")))</f>
        <v/>
      </c>
      <c r="J30" s="21"/>
      <c r="K30" s="23" t="str">
        <f aca="false">IF(J30="","",EDATE(J30,6))</f>
        <v/>
      </c>
      <c r="L30" s="20"/>
      <c r="M30" s="20"/>
    </row>
    <row r="31" customFormat="false" ht="19.5" hidden="false" customHeight="true" outlineLevel="0" collapsed="false">
      <c r="A31" s="20"/>
      <c r="B31" s="20"/>
      <c r="C31" s="20"/>
      <c r="D31" s="20"/>
      <c r="E31" s="20"/>
      <c r="F31" s="20"/>
      <c r="G31" s="21"/>
      <c r="H31" s="21"/>
      <c r="I31" s="22" t="str">
        <f aca="true">IF(H31="","",IF(H31&lt;TODAY(),"Expired",IF(H31-TODAY()&lt;=60,"Ending soon","Active")))</f>
        <v/>
      </c>
      <c r="J31" s="21"/>
      <c r="K31" s="23" t="str">
        <f aca="false">IF(J31="","",EDATE(J31,6))</f>
        <v/>
      </c>
      <c r="L31" s="20"/>
      <c r="M31" s="20"/>
    </row>
    <row r="32" customFormat="false" ht="19.5" hidden="false" customHeight="true" outlineLevel="0" collapsed="false">
      <c r="A32" s="20"/>
      <c r="B32" s="20"/>
      <c r="C32" s="20"/>
      <c r="D32" s="20"/>
      <c r="E32" s="20"/>
      <c r="F32" s="20"/>
      <c r="G32" s="21"/>
      <c r="H32" s="21"/>
      <c r="I32" s="22" t="str">
        <f aca="true">IF(H32="","",IF(H32&lt;TODAY(),"Expired",IF(H32-TODAY()&lt;=60,"Ending soon","Active")))</f>
        <v/>
      </c>
      <c r="J32" s="21"/>
      <c r="K32" s="23" t="str">
        <f aca="false">IF(J32="","",EDATE(J32,6))</f>
        <v/>
      </c>
      <c r="L32" s="20"/>
      <c r="M32" s="20"/>
    </row>
    <row r="33" customFormat="false" ht="19.5" hidden="false" customHeight="true" outlineLevel="0" collapsed="false">
      <c r="A33" s="20"/>
      <c r="B33" s="20"/>
      <c r="C33" s="20"/>
      <c r="D33" s="20"/>
      <c r="E33" s="20"/>
      <c r="F33" s="20"/>
      <c r="G33" s="21"/>
      <c r="H33" s="21"/>
      <c r="I33" s="22" t="str">
        <f aca="true">IF(H33="","",IF(H33&lt;TODAY(),"Expired",IF(H33-TODAY()&lt;=60,"Ending soon","Active")))</f>
        <v/>
      </c>
      <c r="J33" s="21"/>
      <c r="K33" s="23" t="str">
        <f aca="false">IF(J33="","",EDATE(J33,6))</f>
        <v/>
      </c>
      <c r="L33" s="20"/>
      <c r="M33" s="20"/>
    </row>
    <row r="34" customFormat="false" ht="19.5" hidden="false" customHeight="true" outlineLevel="0" collapsed="false">
      <c r="A34" s="20"/>
      <c r="B34" s="20"/>
      <c r="C34" s="20"/>
      <c r="D34" s="20"/>
      <c r="E34" s="20"/>
      <c r="F34" s="20"/>
      <c r="G34" s="21"/>
      <c r="H34" s="21"/>
      <c r="I34" s="22" t="str">
        <f aca="true">IF(H34="","",IF(H34&lt;TODAY(),"Expired",IF(H34-TODAY()&lt;=60,"Ending soon","Active")))</f>
        <v/>
      </c>
      <c r="J34" s="21"/>
      <c r="K34" s="23" t="str">
        <f aca="false">IF(J34="","",EDATE(J34,6))</f>
        <v/>
      </c>
      <c r="L34" s="20"/>
      <c r="M34" s="20"/>
    </row>
    <row r="35" customFormat="false" ht="19.5" hidden="false" customHeight="true" outlineLevel="0" collapsed="false">
      <c r="A35" s="20"/>
      <c r="B35" s="20"/>
      <c r="C35" s="20"/>
      <c r="D35" s="20"/>
      <c r="E35" s="20"/>
      <c r="F35" s="20"/>
      <c r="G35" s="21"/>
      <c r="H35" s="21"/>
      <c r="I35" s="22" t="str">
        <f aca="true">IF(H35="","",IF(H35&lt;TODAY(),"Expired",IF(H35-TODAY()&lt;=60,"Ending soon","Active")))</f>
        <v/>
      </c>
      <c r="J35" s="21"/>
      <c r="K35" s="23" t="str">
        <f aca="false">IF(J35="","",EDATE(J35,6))</f>
        <v/>
      </c>
      <c r="L35" s="20"/>
      <c r="M35" s="20"/>
    </row>
    <row r="36" customFormat="false" ht="19.5" hidden="false" customHeight="true" outlineLevel="0" collapsed="false">
      <c r="A36" s="20"/>
      <c r="B36" s="20"/>
      <c r="C36" s="20"/>
      <c r="D36" s="20"/>
      <c r="E36" s="20"/>
      <c r="F36" s="20"/>
      <c r="G36" s="21"/>
      <c r="H36" s="21"/>
      <c r="I36" s="22" t="str">
        <f aca="true">IF(H36="","",IF(H36&lt;TODAY(),"Expired",IF(H36-TODAY()&lt;=60,"Ending soon","Active")))</f>
        <v/>
      </c>
      <c r="J36" s="21"/>
      <c r="K36" s="23" t="str">
        <f aca="false">IF(J36="","",EDATE(J36,6))</f>
        <v/>
      </c>
      <c r="L36" s="20"/>
      <c r="M36" s="20"/>
    </row>
    <row r="37" customFormat="false" ht="19.5" hidden="false" customHeight="true" outlineLevel="0" collapsed="false">
      <c r="A37" s="20"/>
      <c r="B37" s="20"/>
      <c r="C37" s="20"/>
      <c r="D37" s="20"/>
      <c r="E37" s="20"/>
      <c r="F37" s="20"/>
      <c r="G37" s="21"/>
      <c r="H37" s="21"/>
      <c r="I37" s="22" t="str">
        <f aca="true">IF(H37="","",IF(H37&lt;TODAY(),"Expired",IF(H37-TODAY()&lt;=60,"Ending soon","Active")))</f>
        <v/>
      </c>
      <c r="J37" s="21"/>
      <c r="K37" s="23" t="str">
        <f aca="false">IF(J37="","",EDATE(J37,6))</f>
        <v/>
      </c>
      <c r="L37" s="20"/>
      <c r="M37" s="20"/>
    </row>
    <row r="38" customFormat="false" ht="19.5" hidden="false" customHeight="true" outlineLevel="0" collapsed="false">
      <c r="A38" s="20"/>
      <c r="B38" s="20"/>
      <c r="C38" s="20"/>
      <c r="D38" s="20"/>
      <c r="E38" s="20"/>
      <c r="F38" s="20"/>
      <c r="G38" s="21"/>
      <c r="H38" s="21"/>
      <c r="I38" s="22" t="str">
        <f aca="true">IF(H38="","",IF(H38&lt;TODAY(),"Expired",IF(H38-TODAY()&lt;=60,"Ending soon","Active")))</f>
        <v/>
      </c>
      <c r="J38" s="21"/>
      <c r="K38" s="23" t="str">
        <f aca="false">IF(J38="","",EDATE(J38,6))</f>
        <v/>
      </c>
      <c r="L38" s="20"/>
      <c r="M38" s="20"/>
    </row>
    <row r="39" customFormat="false" ht="19.5" hidden="false" customHeight="true" outlineLevel="0" collapsed="false">
      <c r="A39" s="20"/>
      <c r="B39" s="20"/>
      <c r="C39" s="20"/>
      <c r="D39" s="20"/>
      <c r="E39" s="20"/>
      <c r="F39" s="20"/>
      <c r="G39" s="21"/>
      <c r="H39" s="21"/>
      <c r="I39" s="22" t="str">
        <f aca="true">IF(H39="","",IF(H39&lt;TODAY(),"Expired",IF(H39-TODAY()&lt;=60,"Ending soon","Active")))</f>
        <v/>
      </c>
      <c r="J39" s="21"/>
      <c r="K39" s="23" t="str">
        <f aca="false">IF(J39="","",EDATE(J39,6))</f>
        <v/>
      </c>
      <c r="L39" s="20"/>
      <c r="M39" s="20"/>
    </row>
    <row r="40" customFormat="false" ht="19.5" hidden="false" customHeight="true" outlineLevel="0" collapsed="false">
      <c r="A40" s="20"/>
      <c r="B40" s="20"/>
      <c r="C40" s="20"/>
      <c r="D40" s="20"/>
      <c r="E40" s="20"/>
      <c r="F40" s="20"/>
      <c r="G40" s="21"/>
      <c r="H40" s="21"/>
      <c r="I40" s="22" t="str">
        <f aca="true">IF(H40="","",IF(H40&lt;TODAY(),"Expired",IF(H40-TODAY()&lt;=60,"Ending soon","Active")))</f>
        <v/>
      </c>
      <c r="J40" s="21"/>
      <c r="K40" s="23" t="str">
        <f aca="false">IF(J40="","",EDATE(J40,6))</f>
        <v/>
      </c>
      <c r="L40" s="20"/>
      <c r="M40" s="20"/>
    </row>
    <row r="41" customFormat="false" ht="19.5" hidden="false" customHeight="true" outlineLevel="0" collapsed="false">
      <c r="A41" s="20"/>
      <c r="B41" s="20"/>
      <c r="C41" s="20"/>
      <c r="D41" s="20"/>
      <c r="E41" s="20"/>
      <c r="F41" s="20"/>
      <c r="G41" s="21"/>
      <c r="H41" s="21"/>
      <c r="I41" s="22" t="str">
        <f aca="true">IF(H41="","",IF(H41&lt;TODAY(),"Expired",IF(H41-TODAY()&lt;=60,"Ending soon","Active")))</f>
        <v/>
      </c>
      <c r="J41" s="21"/>
      <c r="K41" s="23" t="str">
        <f aca="false">IF(J41="","",EDATE(J41,6))</f>
        <v/>
      </c>
      <c r="L41" s="20"/>
      <c r="M41" s="20"/>
    </row>
    <row r="42" customFormat="false" ht="19.5" hidden="false" customHeight="true" outlineLevel="0" collapsed="false">
      <c r="A42" s="20"/>
      <c r="B42" s="20"/>
      <c r="C42" s="20"/>
      <c r="D42" s="20"/>
      <c r="E42" s="20"/>
      <c r="F42" s="20"/>
      <c r="G42" s="21"/>
      <c r="H42" s="21"/>
      <c r="I42" s="22" t="str">
        <f aca="true">IF(H42="","",IF(H42&lt;TODAY(),"Expired",IF(H42-TODAY()&lt;=60,"Ending soon","Active")))</f>
        <v/>
      </c>
      <c r="J42" s="21"/>
      <c r="K42" s="23" t="str">
        <f aca="false">IF(J42="","",EDATE(J42,6))</f>
        <v/>
      </c>
      <c r="L42" s="20"/>
      <c r="M42" s="20"/>
    </row>
    <row r="43" customFormat="false" ht="19.5" hidden="false" customHeight="true" outlineLevel="0" collapsed="false">
      <c r="A43" s="20"/>
      <c r="B43" s="20"/>
      <c r="C43" s="20"/>
      <c r="D43" s="20"/>
      <c r="E43" s="20"/>
      <c r="F43" s="20"/>
      <c r="G43" s="21"/>
      <c r="H43" s="21"/>
      <c r="I43" s="22" t="str">
        <f aca="true">IF(H43="","",IF(H43&lt;TODAY(),"Expired",IF(H43-TODAY()&lt;=60,"Ending soon","Active")))</f>
        <v/>
      </c>
      <c r="J43" s="21"/>
      <c r="K43" s="23" t="str">
        <f aca="false">IF(J43="","",EDATE(J43,6))</f>
        <v/>
      </c>
      <c r="L43" s="20"/>
      <c r="M43" s="20"/>
    </row>
    <row r="44" customFormat="false" ht="19.5" hidden="false" customHeight="true" outlineLevel="0" collapsed="false">
      <c r="A44" s="20"/>
      <c r="B44" s="20"/>
      <c r="C44" s="20"/>
      <c r="D44" s="20"/>
      <c r="E44" s="20"/>
      <c r="F44" s="20"/>
      <c r="G44" s="21"/>
      <c r="H44" s="21"/>
      <c r="I44" s="22" t="str">
        <f aca="true">IF(H44="","",IF(H44&lt;TODAY(),"Expired",IF(H44-TODAY()&lt;=60,"Ending soon","Active")))</f>
        <v/>
      </c>
      <c r="J44" s="21"/>
      <c r="K44" s="23" t="str">
        <f aca="false">IF(J44="","",EDATE(J44,6))</f>
        <v/>
      </c>
      <c r="L44" s="20"/>
      <c r="M44" s="20"/>
    </row>
    <row r="45" customFormat="false" ht="19.5" hidden="false" customHeight="true" outlineLevel="0" collapsed="false">
      <c r="A45" s="20"/>
      <c r="B45" s="20"/>
      <c r="C45" s="20"/>
      <c r="D45" s="20"/>
      <c r="E45" s="20"/>
      <c r="F45" s="20"/>
      <c r="G45" s="21"/>
      <c r="H45" s="21"/>
      <c r="I45" s="22" t="str">
        <f aca="true">IF(H45="","",IF(H45&lt;TODAY(),"Expired",IF(H45-TODAY()&lt;=60,"Ending soon","Active")))</f>
        <v/>
      </c>
      <c r="J45" s="21"/>
      <c r="K45" s="23" t="str">
        <f aca="false">IF(J45="","",EDATE(J45,6))</f>
        <v/>
      </c>
      <c r="L45" s="20"/>
      <c r="M45" s="20"/>
    </row>
    <row r="46" customFormat="false" ht="19.5" hidden="false" customHeight="true" outlineLevel="0" collapsed="false">
      <c r="A46" s="20"/>
      <c r="B46" s="20"/>
      <c r="C46" s="20"/>
      <c r="D46" s="20"/>
      <c r="E46" s="20"/>
      <c r="F46" s="20"/>
      <c r="G46" s="21"/>
      <c r="H46" s="21"/>
      <c r="I46" s="22" t="str">
        <f aca="true">IF(H46="","",IF(H46&lt;TODAY(),"Expired",IF(H46-TODAY()&lt;=60,"Ending soon","Active")))</f>
        <v/>
      </c>
      <c r="J46" s="21"/>
      <c r="K46" s="23" t="str">
        <f aca="false">IF(J46="","",EDATE(J46,6))</f>
        <v/>
      </c>
      <c r="L46" s="20"/>
      <c r="M46" s="20"/>
    </row>
    <row r="47" customFormat="false" ht="19.5" hidden="false" customHeight="true" outlineLevel="0" collapsed="false">
      <c r="A47" s="20"/>
      <c r="B47" s="20"/>
      <c r="C47" s="20"/>
      <c r="D47" s="20"/>
      <c r="E47" s="20"/>
      <c r="F47" s="20"/>
      <c r="G47" s="21"/>
      <c r="H47" s="21"/>
      <c r="I47" s="22" t="str">
        <f aca="true">IF(H47="","",IF(H47&lt;TODAY(),"Expired",IF(H47-TODAY()&lt;=60,"Ending soon","Active")))</f>
        <v/>
      </c>
      <c r="J47" s="21"/>
      <c r="K47" s="23" t="str">
        <f aca="false">IF(J47="","",EDATE(J47,6))</f>
        <v/>
      </c>
      <c r="L47" s="20"/>
      <c r="M47" s="20"/>
    </row>
    <row r="48" customFormat="false" ht="19.5" hidden="false" customHeight="true" outlineLevel="0" collapsed="false">
      <c r="A48" s="20"/>
      <c r="B48" s="20"/>
      <c r="C48" s="20"/>
      <c r="D48" s="20"/>
      <c r="E48" s="20"/>
      <c r="F48" s="20"/>
      <c r="G48" s="21"/>
      <c r="H48" s="21"/>
      <c r="I48" s="22" t="str">
        <f aca="true">IF(H48="","",IF(H48&lt;TODAY(),"Expired",IF(H48-TODAY()&lt;=60,"Ending soon","Active")))</f>
        <v/>
      </c>
      <c r="J48" s="21"/>
      <c r="K48" s="23" t="str">
        <f aca="false">IF(J48="","",EDATE(J48,6))</f>
        <v/>
      </c>
      <c r="L48" s="20"/>
      <c r="M48" s="20"/>
    </row>
    <row r="49" customFormat="false" ht="19.5" hidden="false" customHeight="true" outlineLevel="0" collapsed="false">
      <c r="A49" s="20"/>
      <c r="B49" s="20"/>
      <c r="C49" s="20"/>
      <c r="D49" s="20"/>
      <c r="E49" s="20"/>
      <c r="F49" s="20"/>
      <c r="G49" s="21"/>
      <c r="H49" s="21"/>
      <c r="I49" s="22" t="str">
        <f aca="true">IF(H49="","",IF(H49&lt;TODAY(),"Expired",IF(H49-TODAY()&lt;=60,"Ending soon","Active")))</f>
        <v/>
      </c>
      <c r="J49" s="21"/>
      <c r="K49" s="23" t="str">
        <f aca="false">IF(J49="","",EDATE(J49,6))</f>
        <v/>
      </c>
      <c r="L49" s="20"/>
      <c r="M49" s="20"/>
    </row>
    <row r="50" customFormat="false" ht="19.5" hidden="false" customHeight="true" outlineLevel="0" collapsed="false">
      <c r="A50" s="20"/>
      <c r="B50" s="20"/>
      <c r="C50" s="20"/>
      <c r="D50" s="20"/>
      <c r="E50" s="20"/>
      <c r="F50" s="20"/>
      <c r="G50" s="21"/>
      <c r="H50" s="21"/>
      <c r="I50" s="22" t="str">
        <f aca="true">IF(H50="","",IF(H50&lt;TODAY(),"Expired",IF(H50-TODAY()&lt;=60,"Ending soon","Active")))</f>
        <v/>
      </c>
      <c r="J50" s="21"/>
      <c r="K50" s="23" t="str">
        <f aca="false">IF(J50="","",EDATE(J50,6))</f>
        <v/>
      </c>
      <c r="L50" s="20"/>
      <c r="M50" s="20"/>
    </row>
    <row r="51" customFormat="false" ht="19.5" hidden="false" customHeight="true" outlineLevel="0" collapsed="false">
      <c r="A51" s="20"/>
      <c r="B51" s="20"/>
      <c r="C51" s="20"/>
      <c r="D51" s="20"/>
      <c r="E51" s="20"/>
      <c r="F51" s="20"/>
      <c r="G51" s="21"/>
      <c r="H51" s="21"/>
      <c r="I51" s="22" t="str">
        <f aca="true">IF(H51="","",IF(H51&lt;TODAY(),"Expired",IF(H51-TODAY()&lt;=60,"Ending soon","Active")))</f>
        <v/>
      </c>
      <c r="J51" s="21"/>
      <c r="K51" s="23" t="str">
        <f aca="false">IF(J51="","",EDATE(J51,6))</f>
        <v/>
      </c>
      <c r="L51" s="20"/>
      <c r="M51" s="20"/>
    </row>
    <row r="52" customFormat="false" ht="19.5" hidden="false" customHeight="true" outlineLevel="0" collapsed="false">
      <c r="A52" s="20"/>
      <c r="B52" s="20"/>
      <c r="C52" s="20"/>
      <c r="D52" s="20"/>
      <c r="E52" s="20"/>
      <c r="F52" s="20"/>
      <c r="G52" s="21"/>
      <c r="H52" s="21"/>
      <c r="I52" s="22" t="str">
        <f aca="true">IF(H52="","",IF(H52&lt;TODAY(),"Expired",IF(H52-TODAY()&lt;=60,"Ending soon","Active")))</f>
        <v/>
      </c>
      <c r="J52" s="21"/>
      <c r="K52" s="23" t="str">
        <f aca="false">IF(J52="","",EDATE(J52,6))</f>
        <v/>
      </c>
      <c r="L52" s="20"/>
      <c r="M52" s="20"/>
    </row>
    <row r="53" customFormat="false" ht="19.5" hidden="false" customHeight="true" outlineLevel="0" collapsed="false">
      <c r="A53" s="20"/>
      <c r="B53" s="20"/>
      <c r="C53" s="20"/>
      <c r="D53" s="20"/>
      <c r="E53" s="20"/>
      <c r="F53" s="20"/>
      <c r="G53" s="21"/>
      <c r="H53" s="21"/>
      <c r="I53" s="22" t="str">
        <f aca="true">IF(H53="","",IF(H53&lt;TODAY(),"Expired",IF(H53-TODAY()&lt;=60,"Ending soon","Active")))</f>
        <v/>
      </c>
      <c r="J53" s="21"/>
      <c r="K53" s="23" t="str">
        <f aca="false">IF(J53="","",EDATE(J53,6))</f>
        <v/>
      </c>
      <c r="L53" s="20"/>
      <c r="M53" s="20"/>
    </row>
    <row r="54" customFormat="false" ht="19.5" hidden="false" customHeight="true" outlineLevel="0" collapsed="false">
      <c r="A54" s="20"/>
      <c r="B54" s="20"/>
      <c r="C54" s="20"/>
      <c r="D54" s="20"/>
      <c r="E54" s="20"/>
      <c r="F54" s="20"/>
      <c r="G54" s="21"/>
      <c r="H54" s="21"/>
      <c r="I54" s="22" t="str">
        <f aca="true">IF(H54="","",IF(H54&lt;TODAY(),"Expired",IF(H54-TODAY()&lt;=60,"Ending soon","Active")))</f>
        <v/>
      </c>
      <c r="J54" s="21"/>
      <c r="K54" s="23" t="str">
        <f aca="false">IF(J54="","",EDATE(J54,6))</f>
        <v/>
      </c>
      <c r="L54" s="20"/>
      <c r="M54" s="20"/>
    </row>
    <row r="55" customFormat="false" ht="19.5" hidden="false" customHeight="true" outlineLevel="0" collapsed="false">
      <c r="A55" s="20"/>
      <c r="B55" s="20"/>
      <c r="C55" s="20"/>
      <c r="D55" s="20"/>
      <c r="E55" s="20"/>
      <c r="F55" s="20"/>
      <c r="G55" s="21"/>
      <c r="H55" s="21"/>
      <c r="I55" s="22" t="str">
        <f aca="true">IF(H55="","",IF(H55&lt;TODAY(),"Expired",IF(H55-TODAY()&lt;=60,"Ending soon","Active")))</f>
        <v/>
      </c>
      <c r="J55" s="21"/>
      <c r="K55" s="23" t="str">
        <f aca="false">IF(J55="","",EDATE(J55,6))</f>
        <v/>
      </c>
      <c r="L55" s="20"/>
      <c r="M55" s="20"/>
    </row>
    <row r="56" customFormat="false" ht="19.5" hidden="false" customHeight="true" outlineLevel="0" collapsed="false">
      <c r="A56" s="20"/>
      <c r="B56" s="20"/>
      <c r="C56" s="20"/>
      <c r="D56" s="20"/>
      <c r="E56" s="20"/>
      <c r="F56" s="20"/>
      <c r="G56" s="21"/>
      <c r="H56" s="21"/>
      <c r="I56" s="22" t="str">
        <f aca="true">IF(H56="","",IF(H56&lt;TODAY(),"Expired",IF(H56-TODAY()&lt;=60,"Ending soon","Active")))</f>
        <v/>
      </c>
      <c r="J56" s="21"/>
      <c r="K56" s="23" t="str">
        <f aca="false">IF(J56="","",EDATE(J56,6))</f>
        <v/>
      </c>
      <c r="L56" s="20"/>
      <c r="M56" s="20"/>
    </row>
    <row r="57" customFormat="false" ht="19.5" hidden="false" customHeight="true" outlineLevel="0" collapsed="false">
      <c r="A57" s="20"/>
      <c r="B57" s="20"/>
      <c r="C57" s="20"/>
      <c r="D57" s="20"/>
      <c r="E57" s="20"/>
      <c r="F57" s="20"/>
      <c r="G57" s="21"/>
      <c r="H57" s="21"/>
      <c r="I57" s="22" t="str">
        <f aca="true">IF(H57="","",IF(H57&lt;TODAY(),"Expired",IF(H57-TODAY()&lt;=60,"Ending soon","Active")))</f>
        <v/>
      </c>
      <c r="J57" s="21"/>
      <c r="K57" s="23" t="str">
        <f aca="false">IF(J57="","",EDATE(J57,6))</f>
        <v/>
      </c>
      <c r="L57" s="20"/>
      <c r="M57" s="20"/>
    </row>
    <row r="58" customFormat="false" ht="19.5" hidden="false" customHeight="true" outlineLevel="0" collapsed="false">
      <c r="A58" s="20"/>
      <c r="B58" s="20"/>
      <c r="C58" s="20"/>
      <c r="D58" s="20"/>
      <c r="E58" s="20"/>
      <c r="F58" s="20"/>
      <c r="G58" s="21"/>
      <c r="H58" s="21"/>
      <c r="I58" s="22" t="str">
        <f aca="true">IF(H58="","",IF(H58&lt;TODAY(),"Expired",IF(H58-TODAY()&lt;=60,"Ending soon","Active")))</f>
        <v/>
      </c>
      <c r="J58" s="21"/>
      <c r="K58" s="23" t="str">
        <f aca="false">IF(J58="","",EDATE(J58,6))</f>
        <v/>
      </c>
      <c r="L58" s="20"/>
      <c r="M58" s="20"/>
    </row>
    <row r="59" customFormat="false" ht="19.5" hidden="false" customHeight="true" outlineLevel="0" collapsed="false">
      <c r="A59" s="20"/>
      <c r="B59" s="20"/>
      <c r="C59" s="20"/>
      <c r="D59" s="20"/>
      <c r="E59" s="20"/>
      <c r="F59" s="20"/>
      <c r="G59" s="21"/>
      <c r="H59" s="21"/>
      <c r="I59" s="22" t="str">
        <f aca="true">IF(H59="","",IF(H59&lt;TODAY(),"Expired",IF(H59-TODAY()&lt;=60,"Ending soon","Active")))</f>
        <v/>
      </c>
      <c r="J59" s="21"/>
      <c r="K59" s="23" t="str">
        <f aca="false">IF(J59="","",EDATE(J59,6))</f>
        <v/>
      </c>
      <c r="L59" s="20"/>
      <c r="M59" s="20"/>
    </row>
    <row r="60" customFormat="false" ht="19.5" hidden="false" customHeight="true" outlineLevel="0" collapsed="false">
      <c r="A60" s="20"/>
      <c r="B60" s="20"/>
      <c r="C60" s="20"/>
      <c r="D60" s="20"/>
      <c r="E60" s="20"/>
      <c r="F60" s="20"/>
      <c r="G60" s="21"/>
      <c r="H60" s="21"/>
      <c r="I60" s="22" t="str">
        <f aca="true">IF(H60="","",IF(H60&lt;TODAY(),"Expired",IF(H60-TODAY()&lt;=60,"Ending soon","Active")))</f>
        <v/>
      </c>
      <c r="J60" s="21"/>
      <c r="K60" s="23" t="str">
        <f aca="false">IF(J60="","",EDATE(J60,6))</f>
        <v/>
      </c>
      <c r="L60" s="20"/>
      <c r="M60" s="20"/>
    </row>
    <row r="61" customFormat="false" ht="19.5" hidden="false" customHeight="true" outlineLevel="0" collapsed="false">
      <c r="A61" s="20"/>
      <c r="B61" s="20"/>
      <c r="C61" s="20"/>
      <c r="D61" s="20"/>
      <c r="E61" s="20"/>
      <c r="F61" s="20"/>
      <c r="G61" s="21"/>
      <c r="H61" s="21"/>
      <c r="I61" s="22" t="str">
        <f aca="true">IF(H61="","",IF(H61&lt;TODAY(),"Expired",IF(H61-TODAY()&lt;=60,"Ending soon","Active")))</f>
        <v/>
      </c>
      <c r="J61" s="21"/>
      <c r="K61" s="23" t="str">
        <f aca="false">IF(J61="","",EDATE(J61,6))</f>
        <v/>
      </c>
      <c r="L61" s="20"/>
      <c r="M61" s="20"/>
    </row>
    <row r="62" customFormat="false" ht="19.5" hidden="false" customHeight="true" outlineLevel="0" collapsed="false">
      <c r="A62" s="20"/>
      <c r="B62" s="20"/>
      <c r="C62" s="20"/>
      <c r="D62" s="20"/>
      <c r="E62" s="20"/>
      <c r="F62" s="20"/>
      <c r="G62" s="21"/>
      <c r="H62" s="21"/>
      <c r="I62" s="22" t="str">
        <f aca="true">IF(H62="","",IF(H62&lt;TODAY(),"Expired",IF(H62-TODAY()&lt;=60,"Ending soon","Active")))</f>
        <v/>
      </c>
      <c r="J62" s="21"/>
      <c r="K62" s="23" t="str">
        <f aca="false">IF(J62="","",EDATE(J62,6))</f>
        <v/>
      </c>
      <c r="L62" s="20"/>
      <c r="M62" s="20"/>
    </row>
    <row r="63" customFormat="false" ht="19.5" hidden="false" customHeight="true" outlineLevel="0" collapsed="false">
      <c r="A63" s="20"/>
      <c r="B63" s="20"/>
      <c r="C63" s="20"/>
      <c r="D63" s="20"/>
      <c r="E63" s="20"/>
      <c r="F63" s="20"/>
      <c r="G63" s="21"/>
      <c r="H63" s="21"/>
      <c r="I63" s="22" t="str">
        <f aca="true">IF(H63="","",IF(H63&lt;TODAY(),"Expired",IF(H63-TODAY()&lt;=60,"Ending soon","Active")))</f>
        <v/>
      </c>
      <c r="J63" s="21"/>
      <c r="K63" s="23" t="str">
        <f aca="false">IF(J63="","",EDATE(J63,6))</f>
        <v/>
      </c>
      <c r="L63" s="20"/>
      <c r="M63" s="20"/>
    </row>
    <row r="64" customFormat="false" ht="19.5" hidden="false" customHeight="true" outlineLevel="0" collapsed="false">
      <c r="A64" s="20"/>
      <c r="B64" s="20"/>
      <c r="C64" s="20"/>
      <c r="D64" s="20"/>
      <c r="E64" s="20"/>
      <c r="F64" s="20"/>
      <c r="G64" s="21"/>
      <c r="H64" s="21"/>
      <c r="I64" s="22" t="str">
        <f aca="true">IF(H64="","",IF(H64&lt;TODAY(),"Expired",IF(H64-TODAY()&lt;=60,"Ending soon","Active")))</f>
        <v/>
      </c>
      <c r="J64" s="21"/>
      <c r="K64" s="23" t="str">
        <f aca="false">IF(J64="","",EDATE(J64,6))</f>
        <v/>
      </c>
      <c r="L64" s="20"/>
      <c r="M64" s="20"/>
    </row>
    <row r="65" customFormat="false" ht="19.5" hidden="false" customHeight="true" outlineLevel="0" collapsed="false">
      <c r="A65" s="20"/>
      <c r="B65" s="20"/>
      <c r="C65" s="20"/>
      <c r="D65" s="20"/>
      <c r="E65" s="20"/>
      <c r="F65" s="20"/>
      <c r="G65" s="21"/>
      <c r="H65" s="21"/>
      <c r="I65" s="22" t="str">
        <f aca="true">IF(H65="","",IF(H65&lt;TODAY(),"Expired",IF(H65-TODAY()&lt;=60,"Ending soon","Active")))</f>
        <v/>
      </c>
      <c r="J65" s="21"/>
      <c r="K65" s="23" t="str">
        <f aca="false">IF(J65="","",EDATE(J65,6))</f>
        <v/>
      </c>
      <c r="L65" s="20"/>
      <c r="M65" s="20"/>
    </row>
    <row r="66" customFormat="false" ht="19.5" hidden="false" customHeight="true" outlineLevel="0" collapsed="false">
      <c r="A66" s="20"/>
      <c r="B66" s="20"/>
      <c r="C66" s="20"/>
      <c r="D66" s="20"/>
      <c r="E66" s="20"/>
      <c r="F66" s="20"/>
      <c r="G66" s="21"/>
      <c r="H66" s="21"/>
      <c r="I66" s="22" t="str">
        <f aca="true">IF(H66="","",IF(H66&lt;TODAY(),"Expired",IF(H66-TODAY()&lt;=60,"Ending soon","Active")))</f>
        <v/>
      </c>
      <c r="J66" s="21"/>
      <c r="K66" s="23" t="str">
        <f aca="false">IF(J66="","",EDATE(J66,6))</f>
        <v/>
      </c>
      <c r="L66" s="20"/>
      <c r="M66" s="20"/>
    </row>
    <row r="67" customFormat="false" ht="19.5" hidden="false" customHeight="true" outlineLevel="0" collapsed="false">
      <c r="A67" s="20"/>
      <c r="B67" s="20"/>
      <c r="C67" s="20"/>
      <c r="D67" s="20"/>
      <c r="E67" s="20"/>
      <c r="F67" s="20"/>
      <c r="G67" s="21"/>
      <c r="H67" s="21"/>
      <c r="I67" s="22" t="str">
        <f aca="true">IF(H67="","",IF(H67&lt;TODAY(),"Expired",IF(H67-TODAY()&lt;=60,"Ending soon","Active")))</f>
        <v/>
      </c>
      <c r="J67" s="21"/>
      <c r="K67" s="23" t="str">
        <f aca="false">IF(J67="","",EDATE(J67,6))</f>
        <v/>
      </c>
      <c r="L67" s="20"/>
      <c r="M67" s="20"/>
    </row>
    <row r="68" customFormat="false" ht="19.5" hidden="false" customHeight="true" outlineLevel="0" collapsed="false">
      <c r="A68" s="20"/>
      <c r="B68" s="20"/>
      <c r="C68" s="20"/>
      <c r="D68" s="20"/>
      <c r="E68" s="20"/>
      <c r="F68" s="20"/>
      <c r="G68" s="21"/>
      <c r="H68" s="21"/>
      <c r="I68" s="22" t="str">
        <f aca="true">IF(H68="","",IF(H68&lt;TODAY(),"Expired",IF(H68-TODAY()&lt;=60,"Ending soon","Active")))</f>
        <v/>
      </c>
      <c r="J68" s="21"/>
      <c r="K68" s="23" t="str">
        <f aca="false">IF(J68="","",EDATE(J68,6))</f>
        <v/>
      </c>
      <c r="L68" s="20"/>
      <c r="M68" s="20"/>
    </row>
    <row r="69" customFormat="false" ht="19.5" hidden="false" customHeight="true" outlineLevel="0" collapsed="false">
      <c r="A69" s="20"/>
      <c r="B69" s="20"/>
      <c r="C69" s="20"/>
      <c r="D69" s="20"/>
      <c r="E69" s="20"/>
      <c r="F69" s="20"/>
      <c r="G69" s="21"/>
      <c r="H69" s="21"/>
      <c r="I69" s="22" t="str">
        <f aca="true">IF(H69="","",IF(H69&lt;TODAY(),"Expired",IF(H69-TODAY()&lt;=60,"Ending soon","Active")))</f>
        <v/>
      </c>
      <c r="J69" s="21"/>
      <c r="K69" s="23" t="str">
        <f aca="false">IF(J69="","",EDATE(J69,6))</f>
        <v/>
      </c>
      <c r="L69" s="20"/>
      <c r="M69" s="20"/>
    </row>
    <row r="70" customFormat="false" ht="19.5" hidden="false" customHeight="true" outlineLevel="0" collapsed="false">
      <c r="A70" s="20"/>
      <c r="B70" s="20"/>
      <c r="C70" s="20"/>
      <c r="D70" s="20"/>
      <c r="E70" s="20"/>
      <c r="F70" s="20"/>
      <c r="G70" s="21"/>
      <c r="H70" s="21"/>
      <c r="I70" s="22" t="str">
        <f aca="true">IF(H70="","",IF(H70&lt;TODAY(),"Expired",IF(H70-TODAY()&lt;=60,"Ending soon","Active")))</f>
        <v/>
      </c>
      <c r="J70" s="21"/>
      <c r="K70" s="23" t="str">
        <f aca="false">IF(J70="","",EDATE(J70,6))</f>
        <v/>
      </c>
      <c r="L70" s="20"/>
      <c r="M70" s="20"/>
    </row>
    <row r="71" customFormat="false" ht="19.5" hidden="false" customHeight="true" outlineLevel="0" collapsed="false">
      <c r="A71" s="20"/>
      <c r="B71" s="20"/>
      <c r="C71" s="20"/>
      <c r="D71" s="20"/>
      <c r="E71" s="20"/>
      <c r="F71" s="20"/>
      <c r="G71" s="21"/>
      <c r="H71" s="21"/>
      <c r="I71" s="22" t="str">
        <f aca="true">IF(H71="","",IF(H71&lt;TODAY(),"Expired",IF(H71-TODAY()&lt;=60,"Ending soon","Active")))</f>
        <v/>
      </c>
      <c r="J71" s="21"/>
      <c r="K71" s="23" t="str">
        <f aca="false">IF(J71="","",EDATE(J71,6))</f>
        <v/>
      </c>
      <c r="L71" s="20"/>
      <c r="M71" s="20"/>
    </row>
    <row r="72" customFormat="false" ht="19.5" hidden="false" customHeight="true" outlineLevel="0" collapsed="false">
      <c r="A72" s="20"/>
      <c r="B72" s="20"/>
      <c r="C72" s="20"/>
      <c r="D72" s="20"/>
      <c r="E72" s="20"/>
      <c r="F72" s="20"/>
      <c r="G72" s="21"/>
      <c r="H72" s="21"/>
      <c r="I72" s="22" t="str">
        <f aca="true">IF(H72="","",IF(H72&lt;TODAY(),"Expired",IF(H72-TODAY()&lt;=60,"Ending soon","Active")))</f>
        <v/>
      </c>
      <c r="J72" s="21"/>
      <c r="K72" s="23" t="str">
        <f aca="false">IF(J72="","",EDATE(J72,6))</f>
        <v/>
      </c>
      <c r="L72" s="20"/>
      <c r="M72" s="20"/>
    </row>
    <row r="73" customFormat="false" ht="19.5" hidden="false" customHeight="true" outlineLevel="0" collapsed="false">
      <c r="A73" s="20"/>
      <c r="B73" s="20"/>
      <c r="C73" s="20"/>
      <c r="D73" s="20"/>
      <c r="E73" s="20"/>
      <c r="F73" s="20"/>
      <c r="G73" s="21"/>
      <c r="H73" s="21"/>
      <c r="I73" s="22" t="str">
        <f aca="true">IF(H73="","",IF(H73&lt;TODAY(),"Expired",IF(H73-TODAY()&lt;=60,"Ending soon","Active")))</f>
        <v/>
      </c>
      <c r="J73" s="21"/>
      <c r="K73" s="23" t="str">
        <f aca="false">IF(J73="","",EDATE(J73,6))</f>
        <v/>
      </c>
      <c r="L73" s="20"/>
      <c r="M73" s="20"/>
    </row>
    <row r="74" customFormat="false" ht="19.5" hidden="false" customHeight="true" outlineLevel="0" collapsed="false">
      <c r="A74" s="20"/>
      <c r="B74" s="20"/>
      <c r="C74" s="20"/>
      <c r="D74" s="20"/>
      <c r="E74" s="20"/>
      <c r="F74" s="20"/>
      <c r="G74" s="21"/>
      <c r="H74" s="21"/>
      <c r="I74" s="22" t="str">
        <f aca="true">IF(H74="","",IF(H74&lt;TODAY(),"Expired",IF(H74-TODAY()&lt;=60,"Ending soon","Active")))</f>
        <v/>
      </c>
      <c r="J74" s="21"/>
      <c r="K74" s="23" t="str">
        <f aca="false">IF(J74="","",EDATE(J74,6))</f>
        <v/>
      </c>
      <c r="L74" s="20"/>
      <c r="M74" s="20"/>
    </row>
    <row r="75" customFormat="false" ht="19.5" hidden="false" customHeight="true" outlineLevel="0" collapsed="false">
      <c r="A75" s="20"/>
      <c r="B75" s="20"/>
      <c r="C75" s="20"/>
      <c r="D75" s="20"/>
      <c r="E75" s="20"/>
      <c r="F75" s="20"/>
      <c r="G75" s="21"/>
      <c r="H75" s="21"/>
      <c r="I75" s="22" t="str">
        <f aca="true">IF(H75="","",IF(H75&lt;TODAY(),"Expired",IF(H75-TODAY()&lt;=60,"Ending soon","Active")))</f>
        <v/>
      </c>
      <c r="J75" s="21"/>
      <c r="K75" s="23" t="str">
        <f aca="false">IF(J75="","",EDATE(J75,6))</f>
        <v/>
      </c>
      <c r="L75" s="20"/>
      <c r="M75" s="20"/>
    </row>
    <row r="76" customFormat="false" ht="19.5" hidden="false" customHeight="true" outlineLevel="0" collapsed="false">
      <c r="A76" s="20"/>
      <c r="B76" s="20"/>
      <c r="C76" s="20"/>
      <c r="D76" s="20"/>
      <c r="E76" s="20"/>
      <c r="F76" s="20"/>
      <c r="G76" s="21"/>
      <c r="H76" s="21"/>
      <c r="I76" s="22" t="str">
        <f aca="true">IF(H76="","",IF(H76&lt;TODAY(),"Expired",IF(H76-TODAY()&lt;=60,"Ending soon","Active")))</f>
        <v/>
      </c>
      <c r="J76" s="21"/>
      <c r="K76" s="23" t="str">
        <f aca="false">IF(J76="","",EDATE(J76,6))</f>
        <v/>
      </c>
      <c r="L76" s="20"/>
      <c r="M76" s="20"/>
    </row>
    <row r="77" customFormat="false" ht="19.5" hidden="false" customHeight="true" outlineLevel="0" collapsed="false">
      <c r="A77" s="20"/>
      <c r="B77" s="20"/>
      <c r="C77" s="20"/>
      <c r="D77" s="20"/>
      <c r="E77" s="20"/>
      <c r="F77" s="20"/>
      <c r="G77" s="21"/>
      <c r="H77" s="21"/>
      <c r="I77" s="22" t="str">
        <f aca="true">IF(H77="","",IF(H77&lt;TODAY(),"Expired",IF(H77-TODAY()&lt;=60,"Ending soon","Active")))</f>
        <v/>
      </c>
      <c r="J77" s="21"/>
      <c r="K77" s="23" t="str">
        <f aca="false">IF(J77="","",EDATE(J77,6))</f>
        <v/>
      </c>
      <c r="L77" s="20"/>
      <c r="M77" s="20"/>
    </row>
    <row r="78" customFormat="false" ht="19.5" hidden="false" customHeight="true" outlineLevel="0" collapsed="false">
      <c r="A78" s="20"/>
      <c r="B78" s="20"/>
      <c r="C78" s="20"/>
      <c r="D78" s="20"/>
      <c r="E78" s="20"/>
      <c r="F78" s="20"/>
      <c r="G78" s="21"/>
      <c r="H78" s="21"/>
      <c r="I78" s="22" t="str">
        <f aca="true">IF(H78="","",IF(H78&lt;TODAY(),"Expired",IF(H78-TODAY()&lt;=60,"Ending soon","Active")))</f>
        <v/>
      </c>
      <c r="J78" s="21"/>
      <c r="K78" s="23" t="str">
        <f aca="false">IF(J78="","",EDATE(J78,6))</f>
        <v/>
      </c>
      <c r="L78" s="20"/>
      <c r="M78" s="20"/>
    </row>
    <row r="79" customFormat="false" ht="19.5" hidden="false" customHeight="true" outlineLevel="0" collapsed="false">
      <c r="A79" s="20"/>
      <c r="B79" s="20"/>
      <c r="C79" s="20"/>
      <c r="D79" s="20"/>
      <c r="E79" s="20"/>
      <c r="F79" s="20"/>
      <c r="G79" s="21"/>
      <c r="H79" s="21"/>
      <c r="I79" s="22" t="str">
        <f aca="true">IF(H79="","",IF(H79&lt;TODAY(),"Expired",IF(H79-TODAY()&lt;=60,"Ending soon","Active")))</f>
        <v/>
      </c>
      <c r="J79" s="21"/>
      <c r="K79" s="23" t="str">
        <f aca="false">IF(J79="","",EDATE(J79,6))</f>
        <v/>
      </c>
      <c r="L79" s="20"/>
      <c r="M79" s="20"/>
    </row>
    <row r="80" customFormat="false" ht="19.5" hidden="false" customHeight="true" outlineLevel="0" collapsed="false">
      <c r="A80" s="20"/>
      <c r="B80" s="20"/>
      <c r="C80" s="20"/>
      <c r="D80" s="20"/>
      <c r="E80" s="20"/>
      <c r="F80" s="20"/>
      <c r="G80" s="21"/>
      <c r="H80" s="21"/>
      <c r="I80" s="22" t="str">
        <f aca="true">IF(H80="","",IF(H80&lt;TODAY(),"Expired",IF(H80-TODAY()&lt;=60,"Ending soon","Active")))</f>
        <v/>
      </c>
      <c r="J80" s="21"/>
      <c r="K80" s="23" t="str">
        <f aca="false">IF(J80="","",EDATE(J80,6))</f>
        <v/>
      </c>
      <c r="L80" s="20"/>
      <c r="M80" s="20"/>
    </row>
    <row r="81" customFormat="false" ht="19.5" hidden="false" customHeight="true" outlineLevel="0" collapsed="false">
      <c r="A81" s="20"/>
      <c r="B81" s="20"/>
      <c r="C81" s="20"/>
      <c r="D81" s="20"/>
      <c r="E81" s="20"/>
      <c r="F81" s="20"/>
      <c r="G81" s="21"/>
      <c r="H81" s="21"/>
      <c r="I81" s="22" t="str">
        <f aca="true">IF(H81="","",IF(H81&lt;TODAY(),"Expired",IF(H81-TODAY()&lt;=60,"Ending soon","Active")))</f>
        <v/>
      </c>
      <c r="J81" s="21"/>
      <c r="K81" s="23" t="str">
        <f aca="false">IF(J81="","",EDATE(J81,6))</f>
        <v/>
      </c>
      <c r="L81" s="20"/>
      <c r="M81" s="20"/>
    </row>
    <row r="82" customFormat="false" ht="19.5" hidden="false" customHeight="true" outlineLevel="0" collapsed="false">
      <c r="A82" s="20"/>
      <c r="B82" s="20"/>
      <c r="C82" s="20"/>
      <c r="D82" s="20"/>
      <c r="E82" s="20"/>
      <c r="F82" s="20"/>
      <c r="G82" s="21"/>
      <c r="H82" s="21"/>
      <c r="I82" s="22" t="str">
        <f aca="true">IF(H82="","",IF(H82&lt;TODAY(),"Expired",IF(H82-TODAY()&lt;=60,"Ending soon","Active")))</f>
        <v/>
      </c>
      <c r="J82" s="21"/>
      <c r="K82" s="23" t="str">
        <f aca="false">IF(J82="","",EDATE(J82,6))</f>
        <v/>
      </c>
      <c r="L82" s="20"/>
      <c r="M82" s="20"/>
    </row>
    <row r="83" customFormat="false" ht="19.5" hidden="false" customHeight="true" outlineLevel="0" collapsed="false">
      <c r="A83" s="20"/>
      <c r="B83" s="20"/>
      <c r="C83" s="20"/>
      <c r="D83" s="20"/>
      <c r="E83" s="20"/>
      <c r="F83" s="20"/>
      <c r="G83" s="21"/>
      <c r="H83" s="21"/>
      <c r="I83" s="22" t="str">
        <f aca="true">IF(H83="","",IF(H83&lt;TODAY(),"Expired",IF(H83-TODAY()&lt;=60,"Ending soon","Active")))</f>
        <v/>
      </c>
      <c r="J83" s="21"/>
      <c r="K83" s="23" t="str">
        <f aca="false">IF(J83="","",EDATE(J83,6))</f>
        <v/>
      </c>
      <c r="L83" s="20"/>
      <c r="M83" s="20"/>
    </row>
    <row r="84" customFormat="false" ht="19.5" hidden="false" customHeight="true" outlineLevel="0" collapsed="false">
      <c r="A84" s="20"/>
      <c r="B84" s="20"/>
      <c r="C84" s="20"/>
      <c r="D84" s="20"/>
      <c r="E84" s="20"/>
      <c r="F84" s="20"/>
      <c r="G84" s="21"/>
      <c r="H84" s="21"/>
      <c r="I84" s="22" t="str">
        <f aca="true">IF(H84="","",IF(H84&lt;TODAY(),"Expired",IF(H84-TODAY()&lt;=60,"Ending soon","Active")))</f>
        <v/>
      </c>
      <c r="J84" s="21"/>
      <c r="K84" s="23" t="str">
        <f aca="false">IF(J84="","",EDATE(J84,6))</f>
        <v/>
      </c>
      <c r="L84" s="20"/>
      <c r="M84" s="20"/>
    </row>
    <row r="85" customFormat="false" ht="19.5" hidden="false" customHeight="true" outlineLevel="0" collapsed="false">
      <c r="A85" s="20"/>
      <c r="B85" s="20"/>
      <c r="C85" s="20"/>
      <c r="D85" s="20"/>
      <c r="E85" s="20"/>
      <c r="F85" s="20"/>
      <c r="G85" s="21"/>
      <c r="H85" s="21"/>
      <c r="I85" s="22" t="str">
        <f aca="true">IF(H85="","",IF(H85&lt;TODAY(),"Expired",IF(H85-TODAY()&lt;=60,"Ending soon","Active")))</f>
        <v/>
      </c>
      <c r="J85" s="21"/>
      <c r="K85" s="23" t="str">
        <f aca="false">IF(J85="","",EDATE(J85,6))</f>
        <v/>
      </c>
      <c r="L85" s="20"/>
      <c r="M85" s="20"/>
    </row>
    <row r="86" customFormat="false" ht="19.5" hidden="false" customHeight="true" outlineLevel="0" collapsed="false">
      <c r="A86" s="20"/>
      <c r="B86" s="20"/>
      <c r="C86" s="20"/>
      <c r="D86" s="20"/>
      <c r="E86" s="20"/>
      <c r="F86" s="20"/>
      <c r="G86" s="21"/>
      <c r="H86" s="21"/>
      <c r="I86" s="22" t="str">
        <f aca="true">IF(H86="","",IF(H86&lt;TODAY(),"Expired",IF(H86-TODAY()&lt;=60,"Ending soon","Active")))</f>
        <v/>
      </c>
      <c r="J86" s="21"/>
      <c r="K86" s="23" t="str">
        <f aca="false">IF(J86="","",EDATE(J86,6))</f>
        <v/>
      </c>
      <c r="L86" s="20"/>
      <c r="M86" s="20"/>
    </row>
    <row r="87" customFormat="false" ht="19.5" hidden="false" customHeight="true" outlineLevel="0" collapsed="false">
      <c r="A87" s="20"/>
      <c r="B87" s="20"/>
      <c r="C87" s="20"/>
      <c r="D87" s="20"/>
      <c r="E87" s="20"/>
      <c r="F87" s="20"/>
      <c r="G87" s="21"/>
      <c r="H87" s="21"/>
      <c r="I87" s="22" t="str">
        <f aca="true">IF(H87="","",IF(H87&lt;TODAY(),"Expired",IF(H87-TODAY()&lt;=60,"Ending soon","Active")))</f>
        <v/>
      </c>
      <c r="J87" s="21"/>
      <c r="K87" s="23" t="str">
        <f aca="false">IF(J87="","",EDATE(J87,6))</f>
        <v/>
      </c>
      <c r="L87" s="20"/>
      <c r="M87" s="20"/>
    </row>
    <row r="88" customFormat="false" ht="19.5" hidden="false" customHeight="true" outlineLevel="0" collapsed="false">
      <c r="A88" s="20"/>
      <c r="B88" s="20"/>
      <c r="C88" s="20"/>
      <c r="D88" s="20"/>
      <c r="E88" s="20"/>
      <c r="F88" s="20"/>
      <c r="G88" s="21"/>
      <c r="H88" s="21"/>
      <c r="I88" s="22" t="str">
        <f aca="true">IF(H88="","",IF(H88&lt;TODAY(),"Expired",IF(H88-TODAY()&lt;=60,"Ending soon","Active")))</f>
        <v/>
      </c>
      <c r="J88" s="21"/>
      <c r="K88" s="23" t="str">
        <f aca="false">IF(J88="","",EDATE(J88,6))</f>
        <v/>
      </c>
      <c r="L88" s="20"/>
      <c r="M88" s="20"/>
    </row>
    <row r="89" customFormat="false" ht="19.5" hidden="false" customHeight="true" outlineLevel="0" collapsed="false">
      <c r="A89" s="20"/>
      <c r="B89" s="20"/>
      <c r="C89" s="20"/>
      <c r="D89" s="20"/>
      <c r="E89" s="20"/>
      <c r="F89" s="20"/>
      <c r="G89" s="21"/>
      <c r="H89" s="21"/>
      <c r="I89" s="22" t="str">
        <f aca="true">IF(H89="","",IF(H89&lt;TODAY(),"Expired",IF(H89-TODAY()&lt;=60,"Ending soon","Active")))</f>
        <v/>
      </c>
      <c r="J89" s="21"/>
      <c r="K89" s="23" t="str">
        <f aca="false">IF(J89="","",EDATE(J89,6))</f>
        <v/>
      </c>
      <c r="L89" s="20"/>
      <c r="M89" s="20"/>
    </row>
    <row r="90" customFormat="false" ht="19.5" hidden="false" customHeight="true" outlineLevel="0" collapsed="false">
      <c r="A90" s="20"/>
      <c r="B90" s="20"/>
      <c r="C90" s="20"/>
      <c r="D90" s="20"/>
      <c r="E90" s="20"/>
      <c r="F90" s="20"/>
      <c r="G90" s="21"/>
      <c r="H90" s="21"/>
      <c r="I90" s="22" t="str">
        <f aca="true">IF(H90="","",IF(H90&lt;TODAY(),"Expired",IF(H90-TODAY()&lt;=60,"Ending soon","Active")))</f>
        <v/>
      </c>
      <c r="J90" s="21"/>
      <c r="K90" s="23" t="str">
        <f aca="false">IF(J90="","",EDATE(J90,6))</f>
        <v/>
      </c>
      <c r="L90" s="20"/>
      <c r="M90" s="20"/>
    </row>
    <row r="91" customFormat="false" ht="19.5" hidden="false" customHeight="true" outlineLevel="0" collapsed="false">
      <c r="A91" s="20"/>
      <c r="B91" s="20"/>
      <c r="C91" s="20"/>
      <c r="D91" s="20"/>
      <c r="E91" s="20"/>
      <c r="F91" s="20"/>
      <c r="G91" s="21"/>
      <c r="H91" s="21"/>
      <c r="I91" s="22" t="str">
        <f aca="true">IF(H91="","",IF(H91&lt;TODAY(),"Expired",IF(H91-TODAY()&lt;=60,"Ending soon","Active")))</f>
        <v/>
      </c>
      <c r="J91" s="21"/>
      <c r="K91" s="23" t="str">
        <f aca="false">IF(J91="","",EDATE(J91,6))</f>
        <v/>
      </c>
      <c r="L91" s="20"/>
      <c r="M91" s="20"/>
    </row>
    <row r="92" customFormat="false" ht="19.5" hidden="false" customHeight="true" outlineLevel="0" collapsed="false">
      <c r="A92" s="20"/>
      <c r="B92" s="20"/>
      <c r="C92" s="20"/>
      <c r="D92" s="20"/>
      <c r="E92" s="20"/>
      <c r="F92" s="20"/>
      <c r="G92" s="21"/>
      <c r="H92" s="21"/>
      <c r="I92" s="22" t="str">
        <f aca="true">IF(H92="","",IF(H92&lt;TODAY(),"Expired",IF(H92-TODAY()&lt;=60,"Ending soon","Active")))</f>
        <v/>
      </c>
      <c r="J92" s="21"/>
      <c r="K92" s="23" t="str">
        <f aca="false">IF(J92="","",EDATE(J92,6))</f>
        <v/>
      </c>
      <c r="L92" s="20"/>
      <c r="M92" s="20"/>
    </row>
    <row r="93" customFormat="false" ht="19.5" hidden="false" customHeight="true" outlineLevel="0" collapsed="false">
      <c r="A93" s="20"/>
      <c r="B93" s="20"/>
      <c r="C93" s="20"/>
      <c r="D93" s="20"/>
      <c r="E93" s="20"/>
      <c r="F93" s="20"/>
      <c r="G93" s="21"/>
      <c r="H93" s="21"/>
      <c r="I93" s="22" t="str">
        <f aca="true">IF(H93="","",IF(H93&lt;TODAY(),"Expired",IF(H93-TODAY()&lt;=60,"Ending soon","Active")))</f>
        <v/>
      </c>
      <c r="J93" s="21"/>
      <c r="K93" s="23" t="str">
        <f aca="false">IF(J93="","",EDATE(J93,6))</f>
        <v/>
      </c>
      <c r="L93" s="20"/>
      <c r="M93" s="20"/>
    </row>
    <row r="94" customFormat="false" ht="19.5" hidden="false" customHeight="true" outlineLevel="0" collapsed="false">
      <c r="A94" s="20"/>
      <c r="B94" s="20"/>
      <c r="C94" s="20"/>
      <c r="D94" s="20"/>
      <c r="E94" s="20"/>
      <c r="F94" s="20"/>
      <c r="G94" s="21"/>
      <c r="H94" s="21"/>
      <c r="I94" s="22" t="str">
        <f aca="true">IF(H94="","",IF(H94&lt;TODAY(),"Expired",IF(H94-TODAY()&lt;=60,"Ending soon","Active")))</f>
        <v/>
      </c>
      <c r="J94" s="21"/>
      <c r="K94" s="23" t="str">
        <f aca="false">IF(J94="","",EDATE(J94,6))</f>
        <v/>
      </c>
      <c r="L94" s="20"/>
      <c r="M94" s="20"/>
    </row>
    <row r="95" customFormat="false" ht="19.5" hidden="false" customHeight="true" outlineLevel="0" collapsed="false">
      <c r="A95" s="20"/>
      <c r="B95" s="20"/>
      <c r="C95" s="20"/>
      <c r="D95" s="20"/>
      <c r="E95" s="20"/>
      <c r="F95" s="20"/>
      <c r="G95" s="21"/>
      <c r="H95" s="21"/>
      <c r="I95" s="22" t="str">
        <f aca="true">IF(H95="","",IF(H95&lt;TODAY(),"Expired",IF(H95-TODAY()&lt;=60,"Ending soon","Active")))</f>
        <v/>
      </c>
      <c r="J95" s="21"/>
      <c r="K95" s="23" t="str">
        <f aca="false">IF(J95="","",EDATE(J95,6))</f>
        <v/>
      </c>
      <c r="L95" s="20"/>
      <c r="M95" s="20"/>
    </row>
    <row r="96" customFormat="false" ht="19.5" hidden="false" customHeight="true" outlineLevel="0" collapsed="false">
      <c r="A96" s="20"/>
      <c r="B96" s="20"/>
      <c r="C96" s="20"/>
      <c r="D96" s="20"/>
      <c r="E96" s="20"/>
      <c r="F96" s="20"/>
      <c r="G96" s="21"/>
      <c r="H96" s="21"/>
      <c r="I96" s="22" t="str">
        <f aca="true">IF(H96="","",IF(H96&lt;TODAY(),"Expired",IF(H96-TODAY()&lt;=60,"Ending soon","Active")))</f>
        <v/>
      </c>
      <c r="J96" s="21"/>
      <c r="K96" s="23" t="str">
        <f aca="false">IF(J96="","",EDATE(J96,6))</f>
        <v/>
      </c>
      <c r="L96" s="20"/>
      <c r="M96" s="20"/>
    </row>
    <row r="97" customFormat="false" ht="19.5" hidden="false" customHeight="true" outlineLevel="0" collapsed="false">
      <c r="A97" s="20"/>
      <c r="B97" s="20"/>
      <c r="C97" s="20"/>
      <c r="D97" s="20"/>
      <c r="E97" s="20"/>
      <c r="F97" s="20"/>
      <c r="G97" s="21"/>
      <c r="H97" s="21"/>
      <c r="I97" s="22" t="str">
        <f aca="true">IF(H97="","",IF(H97&lt;TODAY(),"Expired",IF(H97-TODAY()&lt;=60,"Ending soon","Active")))</f>
        <v/>
      </c>
      <c r="J97" s="21"/>
      <c r="K97" s="23" t="str">
        <f aca="false">IF(J97="","",EDATE(J97,6))</f>
        <v/>
      </c>
      <c r="L97" s="20"/>
      <c r="M97" s="20"/>
    </row>
    <row r="98" customFormat="false" ht="19.5" hidden="false" customHeight="true" outlineLevel="0" collapsed="false">
      <c r="A98" s="20"/>
      <c r="B98" s="20"/>
      <c r="C98" s="20"/>
      <c r="D98" s="20"/>
      <c r="E98" s="20"/>
      <c r="F98" s="20"/>
      <c r="G98" s="21"/>
      <c r="H98" s="21"/>
      <c r="I98" s="22" t="str">
        <f aca="true">IF(H98="","",IF(H98&lt;TODAY(),"Expired",IF(H98-TODAY()&lt;=60,"Ending soon","Active")))</f>
        <v/>
      </c>
      <c r="J98" s="21"/>
      <c r="K98" s="23" t="str">
        <f aca="false">IF(J98="","",EDATE(J98,6))</f>
        <v/>
      </c>
      <c r="L98" s="20"/>
      <c r="M98" s="20"/>
    </row>
    <row r="99" customFormat="false" ht="19.5" hidden="false" customHeight="true" outlineLevel="0" collapsed="false">
      <c r="A99" s="20"/>
      <c r="B99" s="20"/>
      <c r="C99" s="20"/>
      <c r="D99" s="20"/>
      <c r="E99" s="20"/>
      <c r="F99" s="20"/>
      <c r="G99" s="21"/>
      <c r="H99" s="21"/>
      <c r="I99" s="22" t="str">
        <f aca="true">IF(H99="","",IF(H99&lt;TODAY(),"Expired",IF(H99-TODAY()&lt;=60,"Ending soon","Active")))</f>
        <v/>
      </c>
      <c r="J99" s="21"/>
      <c r="K99" s="23" t="str">
        <f aca="false">IF(J99="","",EDATE(J99,6))</f>
        <v/>
      </c>
      <c r="L99" s="20"/>
      <c r="M99" s="20"/>
    </row>
    <row r="100" customFormat="false" ht="19.5" hidden="false" customHeight="true" outlineLevel="0" collapsed="false">
      <c r="A100" s="20"/>
      <c r="B100" s="20"/>
      <c r="C100" s="20"/>
      <c r="D100" s="20"/>
      <c r="E100" s="20"/>
      <c r="F100" s="20"/>
      <c r="G100" s="21"/>
      <c r="H100" s="21"/>
      <c r="I100" s="22" t="str">
        <f aca="true">IF(H100="","",IF(H100&lt;TODAY(),"Expired",IF(H100-TODAY()&lt;=60,"Ending soon","Active")))</f>
        <v/>
      </c>
      <c r="J100" s="21"/>
      <c r="K100" s="23" t="str">
        <f aca="false">IF(J100="","",EDATE(J100,6))</f>
        <v/>
      </c>
      <c r="L100" s="20"/>
      <c r="M100" s="20"/>
    </row>
    <row r="101" customFormat="false" ht="19.5" hidden="false" customHeight="true" outlineLevel="0" collapsed="false">
      <c r="A101" s="20"/>
      <c r="B101" s="20"/>
      <c r="C101" s="20"/>
      <c r="D101" s="20"/>
      <c r="E101" s="20"/>
      <c r="F101" s="20"/>
      <c r="G101" s="21"/>
      <c r="H101" s="21"/>
      <c r="I101" s="22" t="str">
        <f aca="true">IF(H101="","",IF(H101&lt;TODAY(),"Expired",IF(H101-TODAY()&lt;=60,"Ending soon","Active")))</f>
        <v/>
      </c>
      <c r="J101" s="21"/>
      <c r="K101" s="23" t="str">
        <f aca="false">IF(J101="","",EDATE(J101,6))</f>
        <v/>
      </c>
      <c r="L101" s="20"/>
      <c r="M101" s="20"/>
    </row>
    <row r="102" customFormat="false" ht="19.5" hidden="false" customHeight="true" outlineLevel="0" collapsed="false">
      <c r="A102" s="20"/>
      <c r="B102" s="20"/>
      <c r="C102" s="20"/>
      <c r="D102" s="20"/>
      <c r="E102" s="20"/>
      <c r="F102" s="20"/>
      <c r="G102" s="21"/>
      <c r="H102" s="21"/>
      <c r="I102" s="22" t="str">
        <f aca="true">IF(H102="","",IF(H102&lt;TODAY(),"Expired",IF(H102-TODAY()&lt;=60,"Ending soon","Active")))</f>
        <v/>
      </c>
      <c r="J102" s="21"/>
      <c r="K102" s="23" t="str">
        <f aca="false">IF(J102="","",EDATE(J102,6))</f>
        <v/>
      </c>
      <c r="L102" s="20"/>
      <c r="M102" s="20"/>
    </row>
    <row r="103" customFormat="false" ht="19.5" hidden="false" customHeight="true" outlineLevel="0" collapsed="false">
      <c r="A103" s="20"/>
      <c r="B103" s="20"/>
      <c r="C103" s="20"/>
      <c r="D103" s="20"/>
      <c r="E103" s="20"/>
      <c r="F103" s="20"/>
      <c r="G103" s="21"/>
      <c r="H103" s="21"/>
      <c r="I103" s="22" t="str">
        <f aca="true">IF(H103="","",IF(H103&lt;TODAY(),"Expired",IF(H103-TODAY()&lt;=60,"Ending soon","Active")))</f>
        <v/>
      </c>
      <c r="J103" s="21"/>
      <c r="K103" s="23" t="str">
        <f aca="false">IF(J103="","",EDATE(J103,6))</f>
        <v/>
      </c>
      <c r="L103" s="20"/>
      <c r="M103" s="20"/>
    </row>
    <row r="104" customFormat="false" ht="19.5" hidden="false" customHeight="true" outlineLevel="0" collapsed="false">
      <c r="A104" s="20"/>
      <c r="B104" s="20"/>
      <c r="C104" s="20"/>
      <c r="D104" s="20"/>
      <c r="E104" s="20"/>
      <c r="F104" s="20"/>
      <c r="G104" s="21"/>
      <c r="H104" s="21"/>
      <c r="I104" s="22" t="str">
        <f aca="true">IF(H104="","",IF(H104&lt;TODAY(),"Expired",IF(H104-TODAY()&lt;=60,"Ending soon","Active")))</f>
        <v/>
      </c>
      <c r="J104" s="21"/>
      <c r="K104" s="23" t="str">
        <f aca="false">IF(J104="","",EDATE(J104,6))</f>
        <v/>
      </c>
      <c r="L104" s="20"/>
      <c r="M104" s="20"/>
    </row>
    <row r="105" customFormat="false" ht="19.5" hidden="false" customHeight="true" outlineLevel="0" collapsed="false">
      <c r="A105" s="20"/>
      <c r="B105" s="20"/>
      <c r="C105" s="20"/>
      <c r="D105" s="20"/>
      <c r="E105" s="20"/>
      <c r="F105" s="20"/>
      <c r="G105" s="21"/>
      <c r="H105" s="21"/>
      <c r="I105" s="22" t="str">
        <f aca="true">IF(H105="","",IF(H105&lt;TODAY(),"Expired",IF(H105-TODAY()&lt;=60,"Ending soon","Active")))</f>
        <v/>
      </c>
      <c r="J105" s="21"/>
      <c r="K105" s="23" t="str">
        <f aca="false">IF(J105="","",EDATE(J105,6))</f>
        <v/>
      </c>
      <c r="L105" s="20"/>
      <c r="M105" s="20"/>
    </row>
    <row r="106" customFormat="false" ht="19.5" hidden="false" customHeight="true" outlineLevel="0" collapsed="false">
      <c r="A106" s="20"/>
      <c r="B106" s="20"/>
      <c r="C106" s="20"/>
      <c r="D106" s="20"/>
      <c r="E106" s="20"/>
      <c r="F106" s="20"/>
      <c r="G106" s="21"/>
      <c r="H106" s="21"/>
      <c r="I106" s="22" t="str">
        <f aca="true">IF(H106="","",IF(H106&lt;TODAY(),"Expired",IF(H106-TODAY()&lt;=60,"Ending soon","Active")))</f>
        <v/>
      </c>
      <c r="J106" s="21"/>
      <c r="K106" s="23" t="str">
        <f aca="false">IF(J106="","",EDATE(J106,6))</f>
        <v/>
      </c>
      <c r="L106" s="20"/>
      <c r="M106" s="20"/>
    </row>
    <row r="107" customFormat="false" ht="19.5" hidden="false" customHeight="true" outlineLevel="0" collapsed="false">
      <c r="A107" s="20"/>
      <c r="B107" s="20"/>
      <c r="C107" s="20"/>
      <c r="D107" s="20"/>
      <c r="E107" s="20"/>
      <c r="F107" s="20"/>
      <c r="G107" s="21"/>
      <c r="H107" s="21"/>
      <c r="I107" s="22" t="str">
        <f aca="true">IF(H107="","",IF(H107&lt;TODAY(),"Expired",IF(H107-TODAY()&lt;=60,"Ending soon","Active")))</f>
        <v/>
      </c>
      <c r="J107" s="21"/>
      <c r="K107" s="23" t="str">
        <f aca="false">IF(J107="","",EDATE(J107,6))</f>
        <v/>
      </c>
      <c r="L107" s="20"/>
      <c r="M107" s="20"/>
    </row>
  </sheetData>
  <autoFilter ref="A4:M107"/>
  <conditionalFormatting sqref="I5:I107">
    <cfRule type="expression" priority="2" aboveAverage="0" equalAverage="0" bottom="0" percent="0" rank="0" text="" dxfId="8">
      <formula>I5="Expired"</formula>
    </cfRule>
    <cfRule type="expression" priority="3" aboveAverage="0" equalAverage="0" bottom="0" percent="0" rank="0" text="" dxfId="9">
      <formula>I5="Ending soon"</formula>
    </cfRule>
    <cfRule type="expression" priority="4" aboveAverage="0" equalAverage="0" bottom="0" percent="0" rank="0" text="" dxfId="10">
      <formula>I5="Active"</formula>
    </cfRule>
  </conditionalFormatting>
  <dataValidations count="2">
    <dataValidation allowBlank="true" error="Choose a value from the list" errorStyle="stop" errorTitle="Not in the list" operator="between" showDropDown="false" showErrorMessage="false" showInputMessage="false" sqref="B5:B107" type="list">
      <formula1>"Desktop,Laptop,Tablet,Phone,Printer,Scanner,Router,Switch,UPS,Projector,Other"</formula1>
      <formula2>0</formula2>
    </dataValidation>
    <dataValidation allowBlank="true" error="Choose a value from the list" errorStyle="stop" errorTitle="Not in the list" operator="between" showDropDown="false" showErrorMessage="false" showInputMessage="false" sqref="L5:L107" type="list">
      <formula1>"Good,Needs repair,Retired,Lost,Disposed"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2026-10-22T18:01:18Z</dcterms:created>
  <dc:creator>openpyxl</dc:creator>
  <dc:description/>
  <dc:language>en-US</dc:language>
  <cp:lastModifiedBy/>
  <dcterms:modified xsi:type="dcterms:W3CDTF">2026-10-22T18:01:18Z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